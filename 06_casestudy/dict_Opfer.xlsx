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bernhard-harrer/Documents/Dokumente/4_projects/2023_Embedding/CCR/nearestneighbours/"/>
    </mc:Choice>
  </mc:AlternateContent>
  <xr:revisionPtr revIDLastSave="0" documentId="8_{D005E0E8-6EE6-4641-A1E8-28BCCCF66CD8}" xr6:coauthVersionLast="47" xr6:coauthVersionMax="47" xr10:uidLastSave="{00000000-0000-0000-0000-000000000000}"/>
  <bookViews>
    <workbookView xWindow="1000" yWindow="880" windowWidth="28240" windowHeight="17240" xr2:uid="{B14027C3-15BC-6B44-B3C4-96D8A0E54A5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74" i="1" l="1"/>
  <c r="D371" i="1"/>
  <c r="D366" i="1"/>
  <c r="D365" i="1"/>
  <c r="D356" i="1"/>
  <c r="D354" i="1"/>
  <c r="D351" i="1"/>
  <c r="D346" i="1"/>
  <c r="D344" i="1"/>
  <c r="D332" i="1"/>
  <c r="D329" i="1"/>
  <c r="D324" i="1"/>
  <c r="D318" i="1"/>
  <c r="D316" i="1"/>
  <c r="D286" i="1"/>
  <c r="D281" i="1"/>
  <c r="D273" i="1"/>
  <c r="D271" i="1"/>
  <c r="D268" i="1"/>
  <c r="D261" i="1"/>
  <c r="D141" i="1"/>
  <c r="D246" i="1"/>
  <c r="D248" i="1"/>
  <c r="D242" i="1"/>
  <c r="D239" i="1"/>
  <c r="D233" i="1"/>
  <c r="D224" i="1"/>
  <c r="D220" i="1"/>
  <c r="D2" i="1"/>
  <c r="D216" i="1"/>
  <c r="D212" i="1"/>
  <c r="D210" i="1"/>
  <c r="D208" i="1"/>
  <c r="D201" i="1"/>
  <c r="D189" i="1"/>
  <c r="D182" i="1"/>
  <c r="D176" i="1"/>
  <c r="D173" i="1"/>
  <c r="D167" i="1"/>
  <c r="D161" i="1"/>
  <c r="D155" i="1"/>
  <c r="D148" i="1"/>
  <c r="D145" i="1"/>
  <c r="D136" i="1"/>
  <c r="D128" i="1"/>
  <c r="D117" i="1"/>
  <c r="D108" i="1"/>
  <c r="D105" i="1"/>
  <c r="D99" i="1"/>
  <c r="D89" i="1"/>
  <c r="D80" i="1"/>
  <c r="D61" i="1"/>
  <c r="D59" i="1"/>
  <c r="D57" i="1"/>
  <c r="D55" i="1"/>
  <c r="D45" i="1"/>
  <c r="D33" i="1"/>
  <c r="D12" i="1"/>
</calcChain>
</file>

<file path=xl/sharedStrings.xml><?xml version="1.0" encoding="utf-8"?>
<sst xmlns="http://schemas.openxmlformats.org/spreadsheetml/2006/main" count="531" uniqueCount="392">
  <si>
    <t>Neighbor</t>
  </si>
  <si>
    <t>Count</t>
  </si>
  <si>
    <t>opfern</t>
  </si>
  <si>
    <t>verbrechensopfer</t>
  </si>
  <si>
    <t>vergewaltigungsopfer</t>
  </si>
  <si>
    <t>opferlamm</t>
  </si>
  <si>
    <t>mordopfer</t>
  </si>
  <si>
    <t>gewaltopfer</t>
  </si>
  <si>
    <t>raubopfer</t>
  </si>
  <si>
    <t>opferstock</t>
  </si>
  <si>
    <t>hauptopfer</t>
  </si>
  <si>
    <t>opferstöcke</t>
  </si>
  <si>
    <t>anschlagsopfer</t>
  </si>
  <si>
    <t>opferung</t>
  </si>
  <si>
    <t>opferrente</t>
  </si>
  <si>
    <t>opferangehörige</t>
  </si>
  <si>
    <t>schussopfer</t>
  </si>
  <si>
    <t>bissopfer</t>
  </si>
  <si>
    <t>opfere</t>
  </si>
  <si>
    <t>opferkuch</t>
  </si>
  <si>
    <t>opfertier</t>
  </si>
  <si>
    <t>opfertod</t>
  </si>
  <si>
    <t>opfergang</t>
  </si>
  <si>
    <t>opferkult</t>
  </si>
  <si>
    <t>überfallsopfer</t>
  </si>
  <si>
    <t>opferthese</t>
  </si>
  <si>
    <t>opferstöcken</t>
  </si>
  <si>
    <t>opferstockdieb</t>
  </si>
  <si>
    <t>entführungsopfer</t>
  </si>
  <si>
    <t>prügelopfer</t>
  </si>
  <si>
    <t>zufallsopfer</t>
  </si>
  <si>
    <t>opfert</t>
  </si>
  <si>
    <t>opfermythos</t>
  </si>
  <si>
    <t>opferangehörigen</t>
  </si>
  <si>
    <t>opfers</t>
  </si>
  <si>
    <t>opfergaben</t>
  </si>
  <si>
    <t>opferfamilien</t>
  </si>
  <si>
    <t>opferhilfe</t>
  </si>
  <si>
    <t>überfallopfer</t>
  </si>
  <si>
    <t>kriegsopfer</t>
  </si>
  <si>
    <t>opferseite</t>
  </si>
  <si>
    <t>opfergabe</t>
  </si>
  <si>
    <t>folteropfer</t>
  </si>
  <si>
    <t>opfergruppe</t>
  </si>
  <si>
    <t>opferfest</t>
  </si>
  <si>
    <t>massakeropfer</t>
  </si>
  <si>
    <t>todesopfer</t>
  </si>
  <si>
    <t>terroropfer</t>
  </si>
  <si>
    <t>opferte</t>
  </si>
  <si>
    <t>sturzopfer</t>
  </si>
  <si>
    <t>opfertiere</t>
  </si>
  <si>
    <t>opferfamilie</t>
  </si>
  <si>
    <t>zivilopfer</t>
  </si>
  <si>
    <t>opfervertreter</t>
  </si>
  <si>
    <t>opfergruppen</t>
  </si>
  <si>
    <t>missbrauchsopfer</t>
  </si>
  <si>
    <t>menschenopfer</t>
  </si>
  <si>
    <t>einbruchsopfer</t>
  </si>
  <si>
    <t>dopfer</t>
  </si>
  <si>
    <t>opferstockdiebe</t>
  </si>
  <si>
    <t>opferanwälte</t>
  </si>
  <si>
    <t>opferanwalt</t>
  </si>
  <si>
    <t>attentatsopfer</t>
  </si>
  <si>
    <t>kopfer</t>
  </si>
  <si>
    <t>mobbingopfer</t>
  </si>
  <si>
    <t>betrugsopfer</t>
  </si>
  <si>
    <t>polizeiopfer</t>
  </si>
  <si>
    <t>verbrechensopfern</t>
  </si>
  <si>
    <t>mordopfern</t>
  </si>
  <si>
    <t>gewaltopfern</t>
  </si>
  <si>
    <t>justizopfer</t>
  </si>
  <si>
    <t>brandopfer</t>
  </si>
  <si>
    <t>tatopfer</t>
  </si>
  <si>
    <t>opfersein</t>
  </si>
  <si>
    <t>vergewaltigungsopfern</t>
  </si>
  <si>
    <t>vergewaltigungsopfers</t>
  </si>
  <si>
    <t>opferpose</t>
  </si>
  <si>
    <t>opfermut</t>
  </si>
  <si>
    <t>opferlämmer</t>
  </si>
  <si>
    <t>opferwidder</t>
  </si>
  <si>
    <t>opferwitwen</t>
  </si>
  <si>
    <t>opfermann</t>
  </si>
  <si>
    <t>opferbögen</t>
  </si>
  <si>
    <t>opferriten</t>
  </si>
  <si>
    <t>opferlichter</t>
  </si>
  <si>
    <t>opfersuche</t>
  </si>
  <si>
    <t>opferwurst</t>
  </si>
  <si>
    <t>opferaltar</t>
  </si>
  <si>
    <t>opferanwältin</t>
  </si>
  <si>
    <t>opferschützer</t>
  </si>
  <si>
    <t>opferrenten</t>
  </si>
  <si>
    <t>opferbild</t>
  </si>
  <si>
    <t>opferrechte</t>
  </si>
  <si>
    <t>opferstatus</t>
  </si>
  <si>
    <t>opferverbände</t>
  </si>
  <si>
    <t>täter</t>
  </si>
  <si>
    <t>naziopfer</t>
  </si>
  <si>
    <t>opferangaben</t>
  </si>
  <si>
    <t>erpressungsopfer</t>
  </si>
  <si>
    <t>opferrolle</t>
  </si>
  <si>
    <t>unglücksopfer</t>
  </si>
  <si>
    <t>anschlagsopfern</t>
  </si>
  <si>
    <t>opferten</t>
  </si>
  <si>
    <t>opfernamen</t>
  </si>
  <si>
    <t>opferschema</t>
  </si>
  <si>
    <t>opferritual</t>
  </si>
  <si>
    <t>opferfonds</t>
  </si>
  <si>
    <t>opferfests</t>
  </si>
  <si>
    <t>gewalttäter</t>
  </si>
  <si>
    <t>euthanasieopfer</t>
  </si>
  <si>
    <t>todesopfern</t>
  </si>
  <si>
    <t>opferlisten</t>
  </si>
  <si>
    <t>totesopfer</t>
  </si>
  <si>
    <t>misshandlungsopfer</t>
  </si>
  <si>
    <t>opferkerzen</t>
  </si>
  <si>
    <t>opfernarrativ</t>
  </si>
  <si>
    <t>drogenopfer</t>
  </si>
  <si>
    <t>absturzopfer</t>
  </si>
  <si>
    <t>unfallopfer</t>
  </si>
  <si>
    <t>klopfer</t>
  </si>
  <si>
    <t>opferverein</t>
  </si>
  <si>
    <t>opferschutz</t>
  </si>
  <si>
    <t>todesopfers</t>
  </si>
  <si>
    <t>opferrate</t>
  </si>
  <si>
    <t>angriffsopfer</t>
  </si>
  <si>
    <t>flutopfer</t>
  </si>
  <si>
    <t>opfernotruf</t>
  </si>
  <si>
    <t>opferverbänden</t>
  </si>
  <si>
    <t>sexopfer</t>
  </si>
  <si>
    <t>opferstein</t>
  </si>
  <si>
    <t>opfergeld</t>
  </si>
  <si>
    <t>opferbegriff</t>
  </si>
  <si>
    <t>opferliste</t>
  </si>
  <si>
    <t>opferfestes</t>
  </si>
  <si>
    <t>getöteten</t>
  </si>
  <si>
    <t>opfernde</t>
  </si>
  <si>
    <t>opferschützern</t>
  </si>
  <si>
    <t>verbrechensopferhilfe</t>
  </si>
  <si>
    <t>täterinnen</t>
  </si>
  <si>
    <t>opferschutzgründen</t>
  </si>
  <si>
    <t>verletzungsopfer</t>
  </si>
  <si>
    <t>tätern</t>
  </si>
  <si>
    <t>opferst</t>
  </si>
  <si>
    <t>opferreich</t>
  </si>
  <si>
    <t>opfersteine</t>
  </si>
  <si>
    <t>stalkingopfer</t>
  </si>
  <si>
    <t>opferplatz</t>
  </si>
  <si>
    <t>blutopfer</t>
  </si>
  <si>
    <t>opferort</t>
  </si>
  <si>
    <t>opferorte</t>
  </si>
  <si>
    <t>opferlüge</t>
  </si>
  <si>
    <t>opferkind</t>
  </si>
  <si>
    <t>opferfalle</t>
  </si>
  <si>
    <t>opferfang</t>
  </si>
  <si>
    <t>opferkorb</t>
  </si>
  <si>
    <t>opfernacht</t>
  </si>
  <si>
    <t>opferland</t>
  </si>
  <si>
    <t>opferlämmlein</t>
  </si>
  <si>
    <t>opferputz</t>
  </si>
  <si>
    <t>opfermahl</t>
  </si>
  <si>
    <t>opfermesser</t>
  </si>
  <si>
    <t>opferstick</t>
  </si>
  <si>
    <t>opferwitwe</t>
  </si>
  <si>
    <t>opferkerze</t>
  </si>
  <si>
    <t>opfermythen</t>
  </si>
  <si>
    <t>hopfer</t>
  </si>
  <si>
    <t>gewaltverbrecher</t>
  </si>
  <si>
    <t>tatzeugen</t>
  </si>
  <si>
    <t>verbrennungsopfer</t>
  </si>
  <si>
    <t>opferstätte</t>
  </si>
  <si>
    <t>opfersicht</t>
  </si>
  <si>
    <t>opferschalen</t>
  </si>
  <si>
    <t>opfergedenken</t>
  </si>
  <si>
    <t>opfergestus</t>
  </si>
  <si>
    <t>opferumkehr</t>
  </si>
  <si>
    <t>opferaltäre</t>
  </si>
  <si>
    <t>missbrauchsopfern</t>
  </si>
  <si>
    <t>opferbereitschaft</t>
  </si>
  <si>
    <t>blitzopfer</t>
  </si>
  <si>
    <t>heimopfer</t>
  </si>
  <si>
    <t>ermordeten</t>
  </si>
  <si>
    <t>messeropfer</t>
  </si>
  <si>
    <t>todeopfer</t>
  </si>
  <si>
    <t>opfe</t>
  </si>
  <si>
    <t>opfertyp</t>
  </si>
  <si>
    <t>opferlegende</t>
  </si>
  <si>
    <t>opferstocks</t>
  </si>
  <si>
    <t>opferkreis</t>
  </si>
  <si>
    <t>opferzeuginnen</t>
  </si>
  <si>
    <t>gewalttätern</t>
  </si>
  <si>
    <t>vergewaltigten</t>
  </si>
  <si>
    <t>opferaussage</t>
  </si>
  <si>
    <t>bebenopfer</t>
  </si>
  <si>
    <t>bombenopfer</t>
  </si>
  <si>
    <t>sonderopfer</t>
  </si>
  <si>
    <t>opferverband</t>
  </si>
  <si>
    <t>opferfürsorge</t>
  </si>
  <si>
    <t>opferentschädigung</t>
  </si>
  <si>
    <t>opferreiche</t>
  </si>
  <si>
    <t>opferungen</t>
  </si>
  <si>
    <t>giftopfer</t>
  </si>
  <si>
    <t>opfernden</t>
  </si>
  <si>
    <t>opferwagen</t>
  </si>
  <si>
    <t>opfertum</t>
  </si>
  <si>
    <t>opferstelle</t>
  </si>
  <si>
    <t>opferstockdieben</t>
  </si>
  <si>
    <t>sextäter</t>
  </si>
  <si>
    <t>gewaltverbrechen</t>
  </si>
  <si>
    <t>toten</t>
  </si>
  <si>
    <t>opferaussagen</t>
  </si>
  <si>
    <t>hinrichtungsopfer</t>
  </si>
  <si>
    <t>opferbilanz</t>
  </si>
  <si>
    <t>übeltäter</t>
  </si>
  <si>
    <t>opferschutzes</t>
  </si>
  <si>
    <t>opferanwaltschaft</t>
  </si>
  <si>
    <t>opferstätten</t>
  </si>
  <si>
    <t>opferstockes</t>
  </si>
  <si>
    <t>opferschützerin</t>
  </si>
  <si>
    <t>opferbereit</t>
  </si>
  <si>
    <t>bergopfer</t>
  </si>
  <si>
    <t>haiopfer</t>
  </si>
  <si>
    <t>opfernd</t>
  </si>
  <si>
    <t>stasiopfer</t>
  </si>
  <si>
    <t>notopfer</t>
  </si>
  <si>
    <t>racheopfer</t>
  </si>
  <si>
    <t>traumaopfer</t>
  </si>
  <si>
    <t>kleopfer</t>
  </si>
  <si>
    <t>sühneopfer</t>
  </si>
  <si>
    <t>suizidopfer</t>
  </si>
  <si>
    <t>stauopfer</t>
  </si>
  <si>
    <t>opfertypen</t>
  </si>
  <si>
    <t>opferschale</t>
  </si>
  <si>
    <t>opferkuchen</t>
  </si>
  <si>
    <t>opferaltären</t>
  </si>
  <si>
    <t>opferbilder</t>
  </si>
  <si>
    <t>opfertisch</t>
  </si>
  <si>
    <t>kriegsopfern</t>
  </si>
  <si>
    <t>folteropfern</t>
  </si>
  <si>
    <t>erdbebenopfer</t>
  </si>
  <si>
    <t>ersttäter</t>
  </si>
  <si>
    <t>opferrituale</t>
  </si>
  <si>
    <t>opferfotos</t>
  </si>
  <si>
    <t>opferritualen</t>
  </si>
  <si>
    <t>messopfer</t>
  </si>
  <si>
    <t>sturmopfer</t>
  </si>
  <si>
    <t>entführungsopfern</t>
  </si>
  <si>
    <t>mädchenmord</t>
  </si>
  <si>
    <t>getöteter</t>
  </si>
  <si>
    <t>opferschutzanwältin</t>
  </si>
  <si>
    <t>vergewaltigte</t>
  </si>
  <si>
    <t>überlebende</t>
  </si>
  <si>
    <t>opferhaltung</t>
  </si>
  <si>
    <t>gasopfer</t>
  </si>
  <si>
    <t>anschlagopfer</t>
  </si>
  <si>
    <t>diebstahlsopfer</t>
  </si>
  <si>
    <t>schenkelklopfer</t>
  </si>
  <si>
    <t>mittäter</t>
  </si>
  <si>
    <t>verbrechensopfergesetz</t>
  </si>
  <si>
    <t>terroropfern</t>
  </si>
  <si>
    <t>stopfer</t>
  </si>
  <si>
    <t>schlachtopfer</t>
  </si>
  <si>
    <t>vergewaltiger</t>
  </si>
  <si>
    <t>opferschutzorganisation</t>
  </si>
  <si>
    <t>haupttäter</t>
  </si>
  <si>
    <t>tatverdächtige</t>
  </si>
  <si>
    <t>angeschuldigten</t>
  </si>
  <si>
    <t>opferkollektiv</t>
  </si>
  <si>
    <t>gewalttat</t>
  </si>
  <si>
    <t>täters</t>
  </si>
  <si>
    <t>überlebenden</t>
  </si>
  <si>
    <t>opferorganisation</t>
  </si>
  <si>
    <t>geldopfer</t>
  </si>
  <si>
    <t>geiselopfer</t>
  </si>
  <si>
    <t>opferstockbande</t>
  </si>
  <si>
    <t>opferschaft</t>
  </si>
  <si>
    <t>bauernopfer</t>
  </si>
  <si>
    <t>unfallopfern</t>
  </si>
  <si>
    <t>opferdoktrin</t>
  </si>
  <si>
    <t>opferkarte</t>
  </si>
  <si>
    <t>opferbeschuldigung</t>
  </si>
  <si>
    <t>tieropfer</t>
  </si>
  <si>
    <t>ermordeter</t>
  </si>
  <si>
    <t>angeklagten</t>
  </si>
  <si>
    <t>opferzahl</t>
  </si>
  <si>
    <t>tatverdächtig</t>
  </si>
  <si>
    <t>getötete</t>
  </si>
  <si>
    <t>ermordete</t>
  </si>
  <si>
    <t>mordopfers</t>
  </si>
  <si>
    <t>vergewaltigt</t>
  </si>
  <si>
    <t>mordeten</t>
  </si>
  <si>
    <t>täterin</t>
  </si>
  <si>
    <t>opfertieren</t>
  </si>
  <si>
    <t>bürgerkriegsopfer</t>
  </si>
  <si>
    <t>zeugen</t>
  </si>
  <si>
    <t>todesschützen</t>
  </si>
  <si>
    <t>tatverdächtigen</t>
  </si>
  <si>
    <t>verdächtigen</t>
  </si>
  <si>
    <t>verdächtigten</t>
  </si>
  <si>
    <t>verdächtig</t>
  </si>
  <si>
    <t>opferschutzgruppen</t>
  </si>
  <si>
    <t>regimeopfer</t>
  </si>
  <si>
    <t>opferberichte</t>
  </si>
  <si>
    <t>opferszene</t>
  </si>
  <si>
    <t>opferfigur</t>
  </si>
  <si>
    <t>opferschicksale</t>
  </si>
  <si>
    <t>sprücheklopfer</t>
  </si>
  <si>
    <t>totengebet</t>
  </si>
  <si>
    <t>schulterklopfer</t>
  </si>
  <si>
    <t>minenopfer</t>
  </si>
  <si>
    <t>missbrauchopfer</t>
  </si>
  <si>
    <t>völkermordopfer</t>
  </si>
  <si>
    <t>stichopfer</t>
  </si>
  <si>
    <t>opfertieres</t>
  </si>
  <si>
    <t>missbrauchstäter</t>
  </si>
  <si>
    <t>ermordet</t>
  </si>
  <si>
    <t>männergewalt</t>
  </si>
  <si>
    <t>opferschutzorganisationen</t>
  </si>
  <si>
    <t>vergewaltigern</t>
  </si>
  <si>
    <t>opferschutzeinrichtung</t>
  </si>
  <si>
    <t>tätersuche</t>
  </si>
  <si>
    <t>angehörigen</t>
  </si>
  <si>
    <t>opferrollen</t>
  </si>
  <si>
    <t>opferdaten</t>
  </si>
  <si>
    <t>opfa</t>
  </si>
  <si>
    <t>opferansprüche</t>
  </si>
  <si>
    <t>überlebender</t>
  </si>
  <si>
    <t>bluttaten</t>
  </si>
  <si>
    <t>abhöropfer</t>
  </si>
  <si>
    <t>feueropfer</t>
  </si>
  <si>
    <t>windopfer</t>
  </si>
  <si>
    <t>choleraopfer</t>
  </si>
  <si>
    <t>opfervertretern</t>
  </si>
  <si>
    <t>verdächtige</t>
  </si>
  <si>
    <t>attentäterinnen</t>
  </si>
  <si>
    <t>schwerverbrecher</t>
  </si>
  <si>
    <t>todeslager</t>
  </si>
  <si>
    <t>opfer.</t>
  </si>
  <si>
    <t>verbrechen</t>
  </si>
  <si>
    <t>opfererfahrungen</t>
  </si>
  <si>
    <t>mörder</t>
  </si>
  <si>
    <t>opferns</t>
  </si>
  <si>
    <t>gewaltverbrechens</t>
  </si>
  <si>
    <t>opfer</t>
  </si>
  <si>
    <t>täter-opfer</t>
  </si>
  <si>
    <t>-opfer</t>
  </si>
  <si>
    <t>opferinteressen</t>
  </si>
  <si>
    <t>übergriffs</t>
  </si>
  <si>
    <t>verbrechens</t>
  </si>
  <si>
    <t>täterrolle</t>
  </si>
  <si>
    <t>peiniger</t>
  </si>
  <si>
    <t>übergriffes</t>
  </si>
  <si>
    <t>peinigers</t>
  </si>
  <si>
    <t>hinterbliebenden</t>
  </si>
  <si>
    <t>missbrauchten</t>
  </si>
  <si>
    <t>gewalttaten</t>
  </si>
  <si>
    <t>identitätsdiebstahls</t>
  </si>
  <si>
    <t>schreckenstaten</t>
  </si>
  <si>
    <t>serientäters</t>
  </si>
  <si>
    <t>mitschuldige</t>
  </si>
  <si>
    <t>mörderinnen</t>
  </si>
  <si>
    <t>sexualverbrechens</t>
  </si>
  <si>
    <t>amoklaufes</t>
  </si>
  <si>
    <t>nsu-opfer</t>
  </si>
  <si>
    <t>opfer-</t>
  </si>
  <si>
    <t>mörderhand</t>
  </si>
  <si>
    <t>misshandelten</t>
  </si>
  <si>
    <t>angriffs</t>
  </si>
  <si>
    <t>mordanschlages</t>
  </si>
  <si>
    <t>täterseite</t>
  </si>
  <si>
    <t>katastrophenopfer</t>
  </si>
  <si>
    <t>terrorangriffs</t>
  </si>
  <si>
    <t>hauptleidtragende</t>
  </si>
  <si>
    <t>kinderopfer</t>
  </si>
  <si>
    <t>tote</t>
  </si>
  <si>
    <t>weltkriegsopfer</t>
  </si>
  <si>
    <t>nazi-opfern</t>
  </si>
  <si>
    <t>geschädigten</t>
  </si>
  <si>
    <t>-opfern</t>
  </si>
  <si>
    <t>verkehrsopfer</t>
  </si>
  <si>
    <t>vertreibungsopfer</t>
  </si>
  <si>
    <t>gefallenen</t>
  </si>
  <si>
    <t>vergewaltigers</t>
  </si>
  <si>
    <t>mordanschlags</t>
  </si>
  <si>
    <t>Lemma</t>
  </si>
  <si>
    <t>Lemma_Count</t>
  </si>
  <si>
    <t>gewaltat</t>
  </si>
  <si>
    <t>mordanschlag</t>
  </si>
  <si>
    <t>nazi-opfer</t>
  </si>
  <si>
    <t>opferliset</t>
  </si>
  <si>
    <t>übergriff</t>
  </si>
  <si>
    <t>vergeraltigen</t>
  </si>
  <si>
    <t>vergrewaltigungsopfer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</si>
</sst>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A244-AB76-7C44-AF1A-18EC69A231E1}">
  <dimension ref="A1:D382"/>
  <sheetViews>
    <sheetView tabSelected="1" topLeftCell="A370" zoomScale="193" workbookViewId="0">
      <selection activeCell="C376" sqref="C376"/>
    </sheetView>
  </sheetViews>
  <sheetFormatPr baseColWidth="10" defaultRowHeight="16" x14ac:dyDescent="0.2"/>
  <cols>
    <col min="1" max="1" width="23.1640625" bestFit="1" customWidth="1"/>
  </cols>
  <sheetData>
    <row r="1" spans="1:4" x14ac:dyDescent="0.2">
      <c r="A1" s="1" t="s">
        <v>0</v>
      </c>
      <c r="B1" s="1" t="s">
        <v>1</v>
      </c>
      <c r="C1" t="s">
        <v>383</v>
      </c>
      <c r="D1" t="s">
        <v>384</v>
      </c>
    </row>
    <row r="2" spans="1:4" x14ac:dyDescent="0.2">
      <c r="A2" s="1" t="s">
        <v>344</v>
      </c>
      <c r="B2" s="2">
        <v>1</v>
      </c>
      <c r="C2" t="s">
        <v>342</v>
      </c>
      <c r="D2">
        <f>B2+B3+B114+B115+B116+B218</f>
        <v>28</v>
      </c>
    </row>
    <row r="3" spans="1:4" x14ac:dyDescent="0.2">
      <c r="A3" s="1" t="s">
        <v>377</v>
      </c>
      <c r="B3" s="2">
        <v>1</v>
      </c>
      <c r="C3" t="s">
        <v>342</v>
      </c>
      <c r="D3">
        <v>28</v>
      </c>
    </row>
    <row r="4" spans="1:4" x14ac:dyDescent="0.2">
      <c r="A4" s="1" t="s">
        <v>327</v>
      </c>
      <c r="B4" s="2">
        <v>1</v>
      </c>
    </row>
    <row r="5" spans="1:4" x14ac:dyDescent="0.2">
      <c r="A5" s="1" t="s">
        <v>117</v>
      </c>
      <c r="B5" s="2">
        <v>12</v>
      </c>
    </row>
    <row r="6" spans="1:4" x14ac:dyDescent="0.2">
      <c r="A6" s="1" t="s">
        <v>361</v>
      </c>
      <c r="B6" s="2">
        <v>1</v>
      </c>
    </row>
    <row r="7" spans="1:4" x14ac:dyDescent="0.2">
      <c r="A7" s="1" t="s">
        <v>320</v>
      </c>
      <c r="B7" s="2">
        <v>1</v>
      </c>
    </row>
    <row r="8" spans="1:4" x14ac:dyDescent="0.2">
      <c r="A8" s="1" t="s">
        <v>282</v>
      </c>
      <c r="B8" s="2">
        <v>2</v>
      </c>
    </row>
    <row r="9" spans="1:4" x14ac:dyDescent="0.2">
      <c r="A9" s="1" t="s">
        <v>265</v>
      </c>
      <c r="B9" s="2">
        <v>3</v>
      </c>
    </row>
    <row r="10" spans="1:4" x14ac:dyDescent="0.2">
      <c r="A10" s="1" t="s">
        <v>366</v>
      </c>
      <c r="B10" s="2">
        <v>1</v>
      </c>
    </row>
    <row r="11" spans="1:4" x14ac:dyDescent="0.2">
      <c r="A11" s="1" t="s">
        <v>124</v>
      </c>
      <c r="B11" s="2">
        <v>11</v>
      </c>
    </row>
    <row r="12" spans="1:4" x14ac:dyDescent="0.2">
      <c r="A12" s="1" t="s">
        <v>253</v>
      </c>
      <c r="B12" s="2">
        <v>3</v>
      </c>
      <c r="C12" t="s">
        <v>253</v>
      </c>
      <c r="D12">
        <f>B12+B13+B14</f>
        <v>44</v>
      </c>
    </row>
    <row r="13" spans="1:4" x14ac:dyDescent="0.2">
      <c r="A13" s="1" t="s">
        <v>12</v>
      </c>
      <c r="B13" s="2">
        <v>28</v>
      </c>
      <c r="C13" t="s">
        <v>253</v>
      </c>
      <c r="D13">
        <v>44</v>
      </c>
    </row>
    <row r="14" spans="1:4" x14ac:dyDescent="0.2">
      <c r="A14" s="1" t="s">
        <v>101</v>
      </c>
      <c r="B14" s="2">
        <v>13</v>
      </c>
      <c r="C14" t="s">
        <v>253</v>
      </c>
      <c r="D14">
        <v>44</v>
      </c>
    </row>
    <row r="15" spans="1:4" x14ac:dyDescent="0.2">
      <c r="A15" s="1" t="s">
        <v>333</v>
      </c>
      <c r="B15" s="2">
        <v>1</v>
      </c>
    </row>
    <row r="16" spans="1:4" x14ac:dyDescent="0.2">
      <c r="A16" s="1" t="s">
        <v>62</v>
      </c>
      <c r="B16" s="2">
        <v>18</v>
      </c>
    </row>
    <row r="17" spans="1:2" x14ac:dyDescent="0.2">
      <c r="A17" s="1" t="s">
        <v>275</v>
      </c>
      <c r="B17" s="2">
        <v>2</v>
      </c>
    </row>
    <row r="18" spans="1:2" x14ac:dyDescent="0.2">
      <c r="A18" s="1" t="s">
        <v>192</v>
      </c>
      <c r="B18" s="2">
        <v>6</v>
      </c>
    </row>
    <row r="19" spans="1:2" x14ac:dyDescent="0.2">
      <c r="A19" s="1" t="s">
        <v>219</v>
      </c>
      <c r="B19" s="2">
        <v>4</v>
      </c>
    </row>
    <row r="20" spans="1:2" x14ac:dyDescent="0.2">
      <c r="A20" s="1" t="s">
        <v>65</v>
      </c>
      <c r="B20" s="2">
        <v>18</v>
      </c>
    </row>
    <row r="21" spans="1:2" x14ac:dyDescent="0.2">
      <c r="A21" s="1" t="s">
        <v>17</v>
      </c>
      <c r="B21" s="2">
        <v>25</v>
      </c>
    </row>
    <row r="22" spans="1:2" x14ac:dyDescent="0.2">
      <c r="A22" s="1" t="s">
        <v>178</v>
      </c>
      <c r="B22" s="2">
        <v>7</v>
      </c>
    </row>
    <row r="23" spans="1:2" x14ac:dyDescent="0.2">
      <c r="A23" s="1" t="s">
        <v>147</v>
      </c>
      <c r="B23" s="2">
        <v>8</v>
      </c>
    </row>
    <row r="24" spans="1:2" x14ac:dyDescent="0.2">
      <c r="A24" s="1" t="s">
        <v>326</v>
      </c>
      <c r="B24" s="2">
        <v>1</v>
      </c>
    </row>
    <row r="25" spans="1:2" x14ac:dyDescent="0.2">
      <c r="A25" s="1" t="s">
        <v>193</v>
      </c>
      <c r="B25" s="2">
        <v>6</v>
      </c>
    </row>
    <row r="26" spans="1:2" x14ac:dyDescent="0.2">
      <c r="A26" s="1" t="s">
        <v>71</v>
      </c>
      <c r="B26" s="2">
        <v>17</v>
      </c>
    </row>
    <row r="27" spans="1:2" x14ac:dyDescent="0.2">
      <c r="A27" s="1" t="s">
        <v>292</v>
      </c>
      <c r="B27" s="2">
        <v>2</v>
      </c>
    </row>
    <row r="28" spans="1:2" x14ac:dyDescent="0.2">
      <c r="A28" s="1" t="s">
        <v>330</v>
      </c>
      <c r="B28" s="2">
        <v>1</v>
      </c>
    </row>
    <row r="29" spans="1:2" x14ac:dyDescent="0.2">
      <c r="A29" s="1" t="s">
        <v>254</v>
      </c>
      <c r="B29" s="2">
        <v>3</v>
      </c>
    </row>
    <row r="30" spans="1:2" x14ac:dyDescent="0.2">
      <c r="A30" s="1" t="s">
        <v>58</v>
      </c>
      <c r="B30" s="2">
        <v>19</v>
      </c>
    </row>
    <row r="31" spans="1:2" x14ac:dyDescent="0.2">
      <c r="A31" s="1" t="s">
        <v>116</v>
      </c>
      <c r="B31" s="2">
        <v>12</v>
      </c>
    </row>
    <row r="32" spans="1:2" x14ac:dyDescent="0.2">
      <c r="A32" s="1" t="s">
        <v>57</v>
      </c>
      <c r="B32" s="2">
        <v>19</v>
      </c>
    </row>
    <row r="33" spans="1:4" x14ac:dyDescent="0.2">
      <c r="A33" s="1" t="s">
        <v>28</v>
      </c>
      <c r="B33" s="2">
        <v>24</v>
      </c>
      <c r="C33" t="s">
        <v>28</v>
      </c>
      <c r="D33">
        <f>B33+B34</f>
        <v>28</v>
      </c>
    </row>
    <row r="34" spans="1:4" x14ac:dyDescent="0.2">
      <c r="A34" s="1" t="s">
        <v>245</v>
      </c>
      <c r="B34" s="2">
        <v>4</v>
      </c>
      <c r="C34" t="s">
        <v>28</v>
      </c>
      <c r="D34">
        <v>28</v>
      </c>
    </row>
    <row r="35" spans="1:4" x14ac:dyDescent="0.2">
      <c r="A35" s="1" t="s">
        <v>238</v>
      </c>
      <c r="B35" s="2">
        <v>4</v>
      </c>
    </row>
    <row r="36" spans="1:4" x14ac:dyDescent="0.2">
      <c r="A36" s="1" t="s">
        <v>314</v>
      </c>
      <c r="B36" s="2">
        <v>1</v>
      </c>
    </row>
    <row r="37" spans="1:4" x14ac:dyDescent="0.2">
      <c r="A37" s="1" t="s">
        <v>286</v>
      </c>
      <c r="B37" s="2">
        <v>2</v>
      </c>
    </row>
    <row r="38" spans="1:4" x14ac:dyDescent="0.2">
      <c r="A38" s="1" t="s">
        <v>180</v>
      </c>
      <c r="B38" s="2">
        <v>6</v>
      </c>
    </row>
    <row r="39" spans="1:4" x14ac:dyDescent="0.2">
      <c r="A39" s="1" t="s">
        <v>281</v>
      </c>
      <c r="B39" s="2">
        <v>2</v>
      </c>
    </row>
    <row r="40" spans="1:4" x14ac:dyDescent="0.2">
      <c r="A40" s="1" t="s">
        <v>98</v>
      </c>
      <c r="B40" s="2">
        <v>13</v>
      </c>
    </row>
    <row r="41" spans="1:4" x14ac:dyDescent="0.2">
      <c r="A41" s="1" t="s">
        <v>239</v>
      </c>
      <c r="B41" s="2">
        <v>4</v>
      </c>
    </row>
    <row r="42" spans="1:4" x14ac:dyDescent="0.2">
      <c r="A42" s="1" t="s">
        <v>109</v>
      </c>
      <c r="B42" s="2">
        <v>12</v>
      </c>
    </row>
    <row r="43" spans="1:4" x14ac:dyDescent="0.2">
      <c r="A43" s="1" t="s">
        <v>328</v>
      </c>
      <c r="B43" s="2">
        <v>1</v>
      </c>
    </row>
    <row r="44" spans="1:4" x14ac:dyDescent="0.2">
      <c r="A44" s="1" t="s">
        <v>125</v>
      </c>
      <c r="B44" s="2">
        <v>11</v>
      </c>
    </row>
    <row r="45" spans="1:4" x14ac:dyDescent="0.2">
      <c r="A45" s="1" t="s">
        <v>42</v>
      </c>
      <c r="B45" s="2">
        <v>21</v>
      </c>
      <c r="C45" t="s">
        <v>42</v>
      </c>
      <c r="D45">
        <f>B45+B46</f>
        <v>25</v>
      </c>
    </row>
    <row r="46" spans="1:4" x14ac:dyDescent="0.2">
      <c r="A46" s="1" t="s">
        <v>237</v>
      </c>
      <c r="B46" s="2">
        <v>4</v>
      </c>
      <c r="C46" t="s">
        <v>42</v>
      </c>
      <c r="D46">
        <v>25</v>
      </c>
    </row>
    <row r="47" spans="1:4" x14ac:dyDescent="0.2">
      <c r="A47" s="1" t="s">
        <v>252</v>
      </c>
      <c r="B47" s="2">
        <v>3</v>
      </c>
    </row>
    <row r="48" spans="1:4" x14ac:dyDescent="0.2">
      <c r="A48" s="1" t="s">
        <v>380</v>
      </c>
      <c r="B48" s="2">
        <v>1</v>
      </c>
    </row>
    <row r="49" spans="1:4" x14ac:dyDescent="0.2">
      <c r="A49" s="1" t="s">
        <v>272</v>
      </c>
      <c r="B49" s="2">
        <v>2</v>
      </c>
    </row>
    <row r="50" spans="1:4" x14ac:dyDescent="0.2">
      <c r="A50" s="1" t="s">
        <v>271</v>
      </c>
      <c r="B50" s="2">
        <v>2</v>
      </c>
    </row>
    <row r="51" spans="1:4" x14ac:dyDescent="0.2">
      <c r="A51" s="1" t="s">
        <v>376</v>
      </c>
      <c r="B51" s="2">
        <v>1</v>
      </c>
    </row>
    <row r="52" spans="1:4" x14ac:dyDescent="0.2">
      <c r="A52" s="1" t="s">
        <v>285</v>
      </c>
      <c r="B52" s="2">
        <v>2</v>
      </c>
    </row>
    <row r="53" spans="1:4" x14ac:dyDescent="0.2">
      <c r="A53" s="1" t="s">
        <v>134</v>
      </c>
      <c r="B53" s="2">
        <v>9</v>
      </c>
    </row>
    <row r="54" spans="1:4" x14ac:dyDescent="0.2">
      <c r="A54" s="1" t="s">
        <v>247</v>
      </c>
      <c r="B54" s="2">
        <v>4</v>
      </c>
    </row>
    <row r="55" spans="1:4" x14ac:dyDescent="0.2">
      <c r="A55" s="1" t="s">
        <v>7</v>
      </c>
      <c r="B55" s="2">
        <v>32</v>
      </c>
      <c r="C55" t="s">
        <v>7</v>
      </c>
      <c r="D55">
        <f>B55+B56</f>
        <v>49</v>
      </c>
    </row>
    <row r="56" spans="1:4" x14ac:dyDescent="0.2">
      <c r="A56" s="1" t="s">
        <v>69</v>
      </c>
      <c r="B56" s="2">
        <v>17</v>
      </c>
      <c r="C56" t="s">
        <v>7</v>
      </c>
      <c r="D56">
        <v>49</v>
      </c>
    </row>
    <row r="57" spans="1:4" x14ac:dyDescent="0.2">
      <c r="A57" s="1" t="s">
        <v>267</v>
      </c>
      <c r="B57" s="2">
        <v>3</v>
      </c>
      <c r="C57" t="s">
        <v>385</v>
      </c>
      <c r="D57">
        <f>B57+B58</f>
        <v>4</v>
      </c>
    </row>
    <row r="58" spans="1:4" x14ac:dyDescent="0.2">
      <c r="A58" s="1" t="s">
        <v>354</v>
      </c>
      <c r="B58" s="2">
        <v>1</v>
      </c>
      <c r="C58" t="s">
        <v>385</v>
      </c>
      <c r="D58">
        <v>4</v>
      </c>
    </row>
    <row r="59" spans="1:4" x14ac:dyDescent="0.2">
      <c r="A59" s="1" t="s">
        <v>108</v>
      </c>
      <c r="B59" s="2">
        <v>12</v>
      </c>
      <c r="C59" s="2" t="s">
        <v>108</v>
      </c>
      <c r="D59">
        <f>B59+B60</f>
        <v>18</v>
      </c>
    </row>
    <row r="60" spans="1:4" x14ac:dyDescent="0.2">
      <c r="A60" s="1" t="s">
        <v>189</v>
      </c>
      <c r="B60" s="2">
        <v>6</v>
      </c>
      <c r="C60" s="2" t="s">
        <v>108</v>
      </c>
      <c r="D60">
        <v>18</v>
      </c>
    </row>
    <row r="61" spans="1:4" x14ac:dyDescent="0.2">
      <c r="A61" s="1" t="s">
        <v>207</v>
      </c>
      <c r="B61" s="2">
        <v>5</v>
      </c>
      <c r="C61" t="s">
        <v>207</v>
      </c>
      <c r="D61">
        <f>B61+B62</f>
        <v>6</v>
      </c>
    </row>
    <row r="62" spans="1:4" x14ac:dyDescent="0.2">
      <c r="A62" s="1" t="s">
        <v>341</v>
      </c>
      <c r="B62" s="2">
        <v>1</v>
      </c>
      <c r="C62" t="s">
        <v>207</v>
      </c>
      <c r="D62">
        <v>6</v>
      </c>
    </row>
    <row r="63" spans="1:4" x14ac:dyDescent="0.2">
      <c r="A63" s="1" t="s">
        <v>166</v>
      </c>
      <c r="B63" s="2">
        <v>8</v>
      </c>
    </row>
    <row r="64" spans="1:4" x14ac:dyDescent="0.2">
      <c r="A64" s="1" t="s">
        <v>200</v>
      </c>
      <c r="B64" s="2">
        <v>5</v>
      </c>
    </row>
    <row r="65" spans="1:4" x14ac:dyDescent="0.2">
      <c r="A65" s="1" t="s">
        <v>220</v>
      </c>
      <c r="B65" s="2">
        <v>4</v>
      </c>
    </row>
    <row r="66" spans="1:4" x14ac:dyDescent="0.2">
      <c r="A66" s="1" t="s">
        <v>371</v>
      </c>
      <c r="B66" s="2">
        <v>1</v>
      </c>
    </row>
    <row r="67" spans="1:4" x14ac:dyDescent="0.2">
      <c r="A67" s="1" t="s">
        <v>10</v>
      </c>
      <c r="B67" s="2">
        <v>29</v>
      </c>
    </row>
    <row r="68" spans="1:4" x14ac:dyDescent="0.2">
      <c r="A68" s="1" t="s">
        <v>263</v>
      </c>
      <c r="B68" s="2">
        <v>3</v>
      </c>
    </row>
    <row r="69" spans="1:4" x14ac:dyDescent="0.2">
      <c r="A69" s="1" t="s">
        <v>179</v>
      </c>
      <c r="B69" s="2">
        <v>7</v>
      </c>
    </row>
    <row r="70" spans="1:4" x14ac:dyDescent="0.2">
      <c r="A70" s="1" t="s">
        <v>210</v>
      </c>
      <c r="B70" s="2">
        <v>5</v>
      </c>
    </row>
    <row r="71" spans="1:4" x14ac:dyDescent="0.2">
      <c r="A71" s="1" t="s">
        <v>352</v>
      </c>
      <c r="B71" s="2">
        <v>1</v>
      </c>
    </row>
    <row r="72" spans="1:4" x14ac:dyDescent="0.2">
      <c r="A72" s="1" t="s">
        <v>165</v>
      </c>
      <c r="B72" s="2">
        <v>8</v>
      </c>
    </row>
    <row r="73" spans="1:4" x14ac:dyDescent="0.2">
      <c r="A73" s="1" t="s">
        <v>355</v>
      </c>
      <c r="B73" s="2">
        <v>1</v>
      </c>
    </row>
    <row r="74" spans="1:4" x14ac:dyDescent="0.2">
      <c r="A74" s="1" t="s">
        <v>70</v>
      </c>
      <c r="B74" s="2">
        <v>17</v>
      </c>
    </row>
    <row r="75" spans="1:4" x14ac:dyDescent="0.2">
      <c r="A75" s="1" t="s">
        <v>369</v>
      </c>
      <c r="B75" s="2">
        <v>1</v>
      </c>
    </row>
    <row r="76" spans="1:4" x14ac:dyDescent="0.2">
      <c r="A76" s="1" t="s">
        <v>372</v>
      </c>
      <c r="B76" s="2">
        <v>1</v>
      </c>
    </row>
    <row r="77" spans="1:4" x14ac:dyDescent="0.2">
      <c r="A77" s="1" t="s">
        <v>226</v>
      </c>
      <c r="B77" s="2">
        <v>4</v>
      </c>
    </row>
    <row r="78" spans="1:4" x14ac:dyDescent="0.2">
      <c r="A78" s="1" t="s">
        <v>119</v>
      </c>
      <c r="B78" s="2">
        <v>12</v>
      </c>
    </row>
    <row r="79" spans="1:4" x14ac:dyDescent="0.2">
      <c r="A79" s="1" t="s">
        <v>63</v>
      </c>
      <c r="B79" s="2">
        <v>18</v>
      </c>
    </row>
    <row r="80" spans="1:4" x14ac:dyDescent="0.2">
      <c r="A80" s="1" t="s">
        <v>39</v>
      </c>
      <c r="B80" s="2">
        <v>22</v>
      </c>
      <c r="C80" t="s">
        <v>39</v>
      </c>
      <c r="D80">
        <f>B80+B81</f>
        <v>26</v>
      </c>
    </row>
    <row r="81" spans="1:4" x14ac:dyDescent="0.2">
      <c r="A81" s="1" t="s">
        <v>236</v>
      </c>
      <c r="B81" s="2">
        <v>4</v>
      </c>
      <c r="C81" t="s">
        <v>39</v>
      </c>
      <c r="D81">
        <v>26</v>
      </c>
    </row>
    <row r="82" spans="1:4" x14ac:dyDescent="0.2">
      <c r="A82" s="1" t="s">
        <v>246</v>
      </c>
      <c r="B82" s="2">
        <v>4</v>
      </c>
    </row>
    <row r="83" spans="1:4" x14ac:dyDescent="0.2">
      <c r="A83" s="1" t="s">
        <v>315</v>
      </c>
      <c r="B83" s="2">
        <v>1</v>
      </c>
    </row>
    <row r="84" spans="1:4" x14ac:dyDescent="0.2">
      <c r="A84" s="1" t="s">
        <v>45</v>
      </c>
      <c r="B84" s="2">
        <v>20</v>
      </c>
    </row>
    <row r="85" spans="1:4" x14ac:dyDescent="0.2">
      <c r="A85" s="1" t="s">
        <v>56</v>
      </c>
      <c r="B85" s="2">
        <v>19</v>
      </c>
    </row>
    <row r="86" spans="1:4" x14ac:dyDescent="0.2">
      <c r="A86" s="1" t="s">
        <v>181</v>
      </c>
      <c r="B86" s="2">
        <v>6</v>
      </c>
    </row>
    <row r="87" spans="1:4" x14ac:dyDescent="0.2">
      <c r="A87" s="1" t="s">
        <v>243</v>
      </c>
      <c r="B87" s="2">
        <v>4</v>
      </c>
    </row>
    <row r="88" spans="1:4" x14ac:dyDescent="0.2">
      <c r="A88" s="1" t="s">
        <v>308</v>
      </c>
      <c r="B88" s="2">
        <v>1</v>
      </c>
    </row>
    <row r="89" spans="1:4" x14ac:dyDescent="0.2">
      <c r="A89" s="1" t="s">
        <v>309</v>
      </c>
      <c r="B89" s="2">
        <v>1</v>
      </c>
      <c r="C89" t="s">
        <v>55</v>
      </c>
      <c r="D89">
        <f>B89+B90+B91</f>
        <v>27</v>
      </c>
    </row>
    <row r="90" spans="1:4" x14ac:dyDescent="0.2">
      <c r="A90" s="1" t="s">
        <v>55</v>
      </c>
      <c r="B90" s="2">
        <v>19</v>
      </c>
      <c r="C90" t="s">
        <v>55</v>
      </c>
      <c r="D90">
        <v>27</v>
      </c>
    </row>
    <row r="91" spans="1:4" x14ac:dyDescent="0.2">
      <c r="A91" s="1" t="s">
        <v>176</v>
      </c>
      <c r="B91" s="2">
        <v>7</v>
      </c>
      <c r="C91" t="s">
        <v>55</v>
      </c>
      <c r="D91">
        <v>27</v>
      </c>
    </row>
    <row r="92" spans="1:4" x14ac:dyDescent="0.2">
      <c r="A92" s="1" t="s">
        <v>313</v>
      </c>
      <c r="B92" s="2">
        <v>1</v>
      </c>
    </row>
    <row r="93" spans="1:4" x14ac:dyDescent="0.2">
      <c r="A93" s="1" t="s">
        <v>353</v>
      </c>
      <c r="B93" s="2">
        <v>1</v>
      </c>
    </row>
    <row r="94" spans="1:4" x14ac:dyDescent="0.2">
      <c r="A94" s="1" t="s">
        <v>365</v>
      </c>
      <c r="B94" s="2">
        <v>1</v>
      </c>
    </row>
    <row r="95" spans="1:4" x14ac:dyDescent="0.2">
      <c r="A95" s="1" t="s">
        <v>113</v>
      </c>
      <c r="B95" s="2">
        <v>12</v>
      </c>
    </row>
    <row r="96" spans="1:4" x14ac:dyDescent="0.2">
      <c r="A96" s="1" t="s">
        <v>358</v>
      </c>
      <c r="B96" s="2">
        <v>1</v>
      </c>
    </row>
    <row r="97" spans="1:4" x14ac:dyDescent="0.2">
      <c r="A97" s="1" t="s">
        <v>256</v>
      </c>
      <c r="B97" s="2">
        <v>3</v>
      </c>
    </row>
    <row r="98" spans="1:4" x14ac:dyDescent="0.2">
      <c r="A98" s="1" t="s">
        <v>64</v>
      </c>
      <c r="B98" s="2">
        <v>18</v>
      </c>
    </row>
    <row r="99" spans="1:4" x14ac:dyDescent="0.2">
      <c r="A99" s="1" t="s">
        <v>367</v>
      </c>
      <c r="B99" s="2">
        <v>1</v>
      </c>
      <c r="C99" t="s">
        <v>386</v>
      </c>
      <c r="D99">
        <f>B99+B100</f>
        <v>2</v>
      </c>
    </row>
    <row r="100" spans="1:4" x14ac:dyDescent="0.2">
      <c r="A100" s="1" t="s">
        <v>382</v>
      </c>
      <c r="B100" s="2">
        <v>1</v>
      </c>
      <c r="C100" t="s">
        <v>386</v>
      </c>
      <c r="D100">
        <v>2</v>
      </c>
    </row>
    <row r="101" spans="1:4" x14ac:dyDescent="0.2">
      <c r="A101" s="1" t="s">
        <v>339</v>
      </c>
      <c r="B101" s="2">
        <v>1</v>
      </c>
    </row>
    <row r="102" spans="1:4" x14ac:dyDescent="0.2">
      <c r="A102" s="1" t="s">
        <v>364</v>
      </c>
      <c r="B102" s="2">
        <v>1</v>
      </c>
    </row>
    <row r="103" spans="1:4" x14ac:dyDescent="0.2">
      <c r="A103" s="1" t="s">
        <v>359</v>
      </c>
      <c r="B103" s="2">
        <v>1</v>
      </c>
    </row>
    <row r="104" spans="1:4" x14ac:dyDescent="0.2">
      <c r="A104" s="1" t="s">
        <v>289</v>
      </c>
      <c r="B104" s="2">
        <v>2</v>
      </c>
    </row>
    <row r="105" spans="1:4" x14ac:dyDescent="0.2">
      <c r="A105" s="1" t="s">
        <v>6</v>
      </c>
      <c r="B105" s="2">
        <v>32</v>
      </c>
      <c r="C105" t="s">
        <v>6</v>
      </c>
      <c r="D105">
        <f>B105+B106+B107</f>
        <v>51</v>
      </c>
    </row>
    <row r="106" spans="1:4" x14ac:dyDescent="0.2">
      <c r="A106" s="1" t="s">
        <v>68</v>
      </c>
      <c r="B106" s="2">
        <v>17</v>
      </c>
      <c r="C106" t="s">
        <v>6</v>
      </c>
      <c r="D106">
        <v>51</v>
      </c>
    </row>
    <row r="107" spans="1:4" x14ac:dyDescent="0.2">
      <c r="A107" s="1" t="s">
        <v>287</v>
      </c>
      <c r="B107" s="2">
        <v>2</v>
      </c>
      <c r="C107" t="s">
        <v>6</v>
      </c>
      <c r="D107">
        <v>51</v>
      </c>
    </row>
    <row r="108" spans="1:4" x14ac:dyDescent="0.2">
      <c r="A108" s="1" t="s">
        <v>375</v>
      </c>
      <c r="B108" s="2">
        <v>1</v>
      </c>
      <c r="C108" t="s">
        <v>387</v>
      </c>
      <c r="D108">
        <f>B108+B109</f>
        <v>15</v>
      </c>
    </row>
    <row r="109" spans="1:4" x14ac:dyDescent="0.2">
      <c r="A109" s="1" t="s">
        <v>96</v>
      </c>
      <c r="B109" s="2">
        <v>14</v>
      </c>
      <c r="C109" t="s">
        <v>387</v>
      </c>
      <c r="D109">
        <v>15</v>
      </c>
    </row>
    <row r="110" spans="1:4" x14ac:dyDescent="0.2">
      <c r="A110" s="1" t="s">
        <v>223</v>
      </c>
      <c r="B110" s="2">
        <v>4</v>
      </c>
    </row>
    <row r="111" spans="1:4" x14ac:dyDescent="0.2">
      <c r="A111" s="1" t="s">
        <v>362</v>
      </c>
      <c r="B111" s="2">
        <v>1</v>
      </c>
    </row>
    <row r="112" spans="1:4" x14ac:dyDescent="0.2">
      <c r="A112" s="1" t="s">
        <v>323</v>
      </c>
      <c r="B112" s="2">
        <v>1</v>
      </c>
    </row>
    <row r="113" spans="1:4" x14ac:dyDescent="0.2">
      <c r="A113" s="1" t="s">
        <v>183</v>
      </c>
      <c r="B113" s="2">
        <v>6</v>
      </c>
    </row>
    <row r="114" spans="1:4" x14ac:dyDescent="0.2">
      <c r="A114" s="1" t="s">
        <v>342</v>
      </c>
      <c r="B114" s="2">
        <v>1</v>
      </c>
      <c r="C114" t="s">
        <v>342</v>
      </c>
      <c r="D114">
        <v>28</v>
      </c>
    </row>
    <row r="115" spans="1:4" x14ac:dyDescent="0.2">
      <c r="A115" s="1" t="s">
        <v>363</v>
      </c>
      <c r="B115" s="2">
        <v>1</v>
      </c>
      <c r="C115" t="s">
        <v>342</v>
      </c>
      <c r="D115">
        <v>28</v>
      </c>
    </row>
    <row r="116" spans="1:4" x14ac:dyDescent="0.2">
      <c r="A116" s="1" t="s">
        <v>336</v>
      </c>
      <c r="B116" s="2">
        <v>1</v>
      </c>
      <c r="C116" t="s">
        <v>342</v>
      </c>
      <c r="D116">
        <v>28</v>
      </c>
    </row>
    <row r="117" spans="1:4" x14ac:dyDescent="0.2">
      <c r="A117" s="1" t="s">
        <v>87</v>
      </c>
      <c r="B117" s="2">
        <v>16</v>
      </c>
      <c r="C117" t="s">
        <v>87</v>
      </c>
      <c r="D117">
        <f>B117+B118+B119</f>
        <v>27</v>
      </c>
    </row>
    <row r="118" spans="1:4" x14ac:dyDescent="0.2">
      <c r="A118" s="1" t="s">
        <v>175</v>
      </c>
      <c r="B118" s="2">
        <v>7</v>
      </c>
      <c r="C118" t="s">
        <v>87</v>
      </c>
      <c r="D118">
        <v>27</v>
      </c>
    </row>
    <row r="119" spans="1:4" x14ac:dyDescent="0.2">
      <c r="A119" s="1" t="s">
        <v>233</v>
      </c>
      <c r="B119" s="2">
        <v>4</v>
      </c>
      <c r="C119" t="s">
        <v>87</v>
      </c>
      <c r="D119">
        <v>27</v>
      </c>
    </row>
    <row r="120" spans="1:4" x14ac:dyDescent="0.2">
      <c r="A120" s="1" t="s">
        <v>97</v>
      </c>
      <c r="B120" s="2">
        <v>13</v>
      </c>
    </row>
    <row r="121" spans="1:4" x14ac:dyDescent="0.2">
      <c r="A121" s="1" t="s">
        <v>15</v>
      </c>
      <c r="B121" s="2">
        <v>25</v>
      </c>
    </row>
    <row r="122" spans="1:4" x14ac:dyDescent="0.2">
      <c r="A122" s="1" t="s">
        <v>33</v>
      </c>
      <c r="B122" s="2">
        <v>23</v>
      </c>
    </row>
    <row r="123" spans="1:4" x14ac:dyDescent="0.2">
      <c r="A123" s="1" t="s">
        <v>324</v>
      </c>
      <c r="B123" s="2">
        <v>1</v>
      </c>
    </row>
    <row r="124" spans="1:4" x14ac:dyDescent="0.2">
      <c r="A124" s="1" t="s">
        <v>61</v>
      </c>
      <c r="B124" s="2">
        <v>18</v>
      </c>
    </row>
    <row r="125" spans="1:4" x14ac:dyDescent="0.2">
      <c r="A125" s="1" t="s">
        <v>60</v>
      </c>
      <c r="B125" s="2">
        <v>18</v>
      </c>
    </row>
    <row r="126" spans="1:4" x14ac:dyDescent="0.2">
      <c r="A126" s="1" t="s">
        <v>88</v>
      </c>
      <c r="B126" s="2">
        <v>15</v>
      </c>
    </row>
    <row r="127" spans="1:4" x14ac:dyDescent="0.2">
      <c r="A127" s="1" t="s">
        <v>214</v>
      </c>
      <c r="B127" s="2">
        <v>4</v>
      </c>
    </row>
    <row r="128" spans="1:4" x14ac:dyDescent="0.2">
      <c r="A128" s="1" t="s">
        <v>191</v>
      </c>
      <c r="B128" s="2">
        <v>6</v>
      </c>
      <c r="C128" t="s">
        <v>191</v>
      </c>
      <c r="D128">
        <f>B128+B129</f>
        <v>11</v>
      </c>
    </row>
    <row r="129" spans="1:4" x14ac:dyDescent="0.2">
      <c r="A129" s="1" t="s">
        <v>209</v>
      </c>
      <c r="B129" s="2">
        <v>5</v>
      </c>
      <c r="C129" t="s">
        <v>191</v>
      </c>
      <c r="D129">
        <v>11</v>
      </c>
    </row>
    <row r="130" spans="1:4" x14ac:dyDescent="0.2">
      <c r="A130" s="1" t="s">
        <v>131</v>
      </c>
      <c r="B130" s="2">
        <v>10</v>
      </c>
    </row>
    <row r="131" spans="1:4" x14ac:dyDescent="0.2">
      <c r="A131" s="1" t="s">
        <v>218</v>
      </c>
      <c r="B131" s="2">
        <v>4</v>
      </c>
    </row>
    <row r="132" spans="1:4" x14ac:dyDescent="0.2">
      <c r="A132" s="1" t="s">
        <v>177</v>
      </c>
      <c r="B132" s="2">
        <v>7</v>
      </c>
    </row>
    <row r="133" spans="1:4" x14ac:dyDescent="0.2">
      <c r="A133" s="1" t="s">
        <v>301</v>
      </c>
      <c r="B133" s="2">
        <v>1</v>
      </c>
    </row>
    <row r="134" spans="1:4" x14ac:dyDescent="0.2">
      <c r="A134" s="1" t="s">
        <v>279</v>
      </c>
      <c r="B134" s="2">
        <v>2</v>
      </c>
    </row>
    <row r="135" spans="1:4" x14ac:dyDescent="0.2">
      <c r="A135" s="1" t="s">
        <v>211</v>
      </c>
      <c r="B135" s="2">
        <v>5</v>
      </c>
    </row>
    <row r="136" spans="1:4" x14ac:dyDescent="0.2">
      <c r="A136" s="1" t="s">
        <v>91</v>
      </c>
      <c r="B136" s="2">
        <v>15</v>
      </c>
      <c r="C136" t="s">
        <v>91</v>
      </c>
      <c r="D136">
        <f>B136+B137</f>
        <v>19</v>
      </c>
    </row>
    <row r="137" spans="1:4" x14ac:dyDescent="0.2">
      <c r="A137" s="1" t="s">
        <v>234</v>
      </c>
      <c r="B137" s="2">
        <v>4</v>
      </c>
      <c r="C137" t="s">
        <v>91</v>
      </c>
      <c r="D137">
        <v>19</v>
      </c>
    </row>
    <row r="138" spans="1:4" x14ac:dyDescent="0.2">
      <c r="A138" s="1" t="s">
        <v>82</v>
      </c>
      <c r="B138" s="2">
        <v>16</v>
      </c>
    </row>
    <row r="139" spans="1:4" x14ac:dyDescent="0.2">
      <c r="A139" s="1" t="s">
        <v>322</v>
      </c>
      <c r="B139" s="2">
        <v>1</v>
      </c>
    </row>
    <row r="140" spans="1:4" x14ac:dyDescent="0.2">
      <c r="A140" s="1" t="s">
        <v>277</v>
      </c>
      <c r="B140" s="2">
        <v>2</v>
      </c>
    </row>
    <row r="141" spans="1:4" x14ac:dyDescent="0.2">
      <c r="A141" s="1" t="s">
        <v>18</v>
      </c>
      <c r="B141" s="2">
        <v>25</v>
      </c>
      <c r="C141" t="s">
        <v>2</v>
      </c>
      <c r="D141">
        <f>B141+B191+B195+B199+B238+B257+B258+B259</f>
        <v>128</v>
      </c>
    </row>
    <row r="142" spans="1:4" x14ac:dyDescent="0.2">
      <c r="A142" s="1" t="s">
        <v>197</v>
      </c>
      <c r="B142" s="2">
        <v>5</v>
      </c>
    </row>
    <row r="143" spans="1:4" x14ac:dyDescent="0.2">
      <c r="A143" s="1" t="s">
        <v>338</v>
      </c>
      <c r="B143" s="2">
        <v>1</v>
      </c>
    </row>
    <row r="144" spans="1:4" x14ac:dyDescent="0.2">
      <c r="A144" s="1" t="s">
        <v>152</v>
      </c>
      <c r="B144" s="2">
        <v>8</v>
      </c>
    </row>
    <row r="145" spans="1:4" x14ac:dyDescent="0.2">
      <c r="A145" s="1" t="s">
        <v>51</v>
      </c>
      <c r="B145" s="2">
        <v>19</v>
      </c>
      <c r="C145" t="s">
        <v>51</v>
      </c>
      <c r="D145">
        <f>B145+B146</f>
        <v>42</v>
      </c>
    </row>
    <row r="146" spans="1:4" x14ac:dyDescent="0.2">
      <c r="A146" s="1" t="s">
        <v>36</v>
      </c>
      <c r="B146" s="2">
        <v>23</v>
      </c>
      <c r="C146" t="s">
        <v>51</v>
      </c>
      <c r="D146">
        <v>42</v>
      </c>
    </row>
    <row r="147" spans="1:4" x14ac:dyDescent="0.2">
      <c r="A147" s="1" t="s">
        <v>153</v>
      </c>
      <c r="B147" s="2">
        <v>8</v>
      </c>
    </row>
    <row r="148" spans="1:4" x14ac:dyDescent="0.2">
      <c r="A148" s="1" t="s">
        <v>44</v>
      </c>
      <c r="B148" s="2">
        <v>20</v>
      </c>
      <c r="C148" t="s">
        <v>44</v>
      </c>
      <c r="D148">
        <f>B148+B149+B150</f>
        <v>41</v>
      </c>
    </row>
    <row r="149" spans="1:4" x14ac:dyDescent="0.2">
      <c r="A149" s="1" t="s">
        <v>133</v>
      </c>
      <c r="B149" s="2">
        <v>9</v>
      </c>
      <c r="C149" t="s">
        <v>44</v>
      </c>
      <c r="D149">
        <v>41</v>
      </c>
    </row>
    <row r="150" spans="1:4" x14ac:dyDescent="0.2">
      <c r="A150" s="1" t="s">
        <v>107</v>
      </c>
      <c r="B150" s="2">
        <v>12</v>
      </c>
      <c r="C150" t="s">
        <v>44</v>
      </c>
      <c r="D150">
        <v>41</v>
      </c>
    </row>
    <row r="151" spans="1:4" x14ac:dyDescent="0.2">
      <c r="A151" s="1" t="s">
        <v>303</v>
      </c>
      <c r="B151" s="2">
        <v>1</v>
      </c>
    </row>
    <row r="152" spans="1:4" x14ac:dyDescent="0.2">
      <c r="A152" s="1" t="s">
        <v>106</v>
      </c>
      <c r="B152" s="2">
        <v>12</v>
      </c>
    </row>
    <row r="153" spans="1:4" x14ac:dyDescent="0.2">
      <c r="A153" s="1" t="s">
        <v>241</v>
      </c>
      <c r="B153" s="2">
        <v>4</v>
      </c>
    </row>
    <row r="154" spans="1:4" x14ac:dyDescent="0.2">
      <c r="A154" s="1" t="s">
        <v>196</v>
      </c>
      <c r="B154" s="2">
        <v>5</v>
      </c>
    </row>
    <row r="155" spans="1:4" x14ac:dyDescent="0.2">
      <c r="A155" s="1" t="s">
        <v>41</v>
      </c>
      <c r="B155" s="2">
        <v>21</v>
      </c>
      <c r="C155" t="s">
        <v>41</v>
      </c>
      <c r="D155">
        <f>B155+B156</f>
        <v>44</v>
      </c>
    </row>
    <row r="156" spans="1:4" x14ac:dyDescent="0.2">
      <c r="A156" s="1" t="s">
        <v>35</v>
      </c>
      <c r="B156" s="2">
        <v>23</v>
      </c>
      <c r="C156" t="s">
        <v>41</v>
      </c>
      <c r="D156">
        <v>44</v>
      </c>
    </row>
    <row r="157" spans="1:4" x14ac:dyDescent="0.2">
      <c r="A157" s="1" t="s">
        <v>22</v>
      </c>
      <c r="B157" s="2">
        <v>24</v>
      </c>
    </row>
    <row r="158" spans="1:4" x14ac:dyDescent="0.2">
      <c r="A158" s="1" t="s">
        <v>172</v>
      </c>
      <c r="B158" s="2">
        <v>7</v>
      </c>
    </row>
    <row r="159" spans="1:4" x14ac:dyDescent="0.2">
      <c r="A159" s="1" t="s">
        <v>130</v>
      </c>
      <c r="B159" s="2">
        <v>10</v>
      </c>
    </row>
    <row r="160" spans="1:4" x14ac:dyDescent="0.2">
      <c r="A160" s="1" t="s">
        <v>173</v>
      </c>
      <c r="B160" s="2">
        <v>7</v>
      </c>
    </row>
    <row r="161" spans="1:4" x14ac:dyDescent="0.2">
      <c r="A161" s="1" t="s">
        <v>43</v>
      </c>
      <c r="B161" s="2">
        <v>20</v>
      </c>
      <c r="C161" t="s">
        <v>43</v>
      </c>
      <c r="D161">
        <f>B161+B162</f>
        <v>39</v>
      </c>
    </row>
    <row r="162" spans="1:4" x14ac:dyDescent="0.2">
      <c r="A162" s="1" t="s">
        <v>54</v>
      </c>
      <c r="B162" s="2">
        <v>19</v>
      </c>
      <c r="C162" t="s">
        <v>43</v>
      </c>
      <c r="D162">
        <v>39</v>
      </c>
    </row>
    <row r="163" spans="1:4" x14ac:dyDescent="0.2">
      <c r="A163" s="1" t="s">
        <v>251</v>
      </c>
      <c r="B163" s="2">
        <v>3</v>
      </c>
    </row>
    <row r="164" spans="1:4" x14ac:dyDescent="0.2">
      <c r="A164" s="1" t="s">
        <v>37</v>
      </c>
      <c r="B164" s="2">
        <v>23</v>
      </c>
    </row>
    <row r="165" spans="1:4" x14ac:dyDescent="0.2">
      <c r="A165" s="1" t="s">
        <v>345</v>
      </c>
      <c r="B165" s="2">
        <v>1</v>
      </c>
    </row>
    <row r="166" spans="1:4" x14ac:dyDescent="0.2">
      <c r="A166" s="1" t="s">
        <v>278</v>
      </c>
      <c r="B166" s="2">
        <v>2</v>
      </c>
    </row>
    <row r="167" spans="1:4" x14ac:dyDescent="0.2">
      <c r="A167" s="1" t="s">
        <v>163</v>
      </c>
      <c r="B167" s="2">
        <v>8</v>
      </c>
      <c r="C167" t="s">
        <v>163</v>
      </c>
      <c r="D167">
        <f>B167+B168</f>
        <v>20</v>
      </c>
    </row>
    <row r="168" spans="1:4" x14ac:dyDescent="0.2">
      <c r="A168" s="1" t="s">
        <v>114</v>
      </c>
      <c r="B168" s="2">
        <v>12</v>
      </c>
      <c r="C168" t="s">
        <v>163</v>
      </c>
      <c r="D168">
        <v>20</v>
      </c>
    </row>
    <row r="169" spans="1:4" x14ac:dyDescent="0.2">
      <c r="A169" s="1" t="s">
        <v>151</v>
      </c>
      <c r="B169" s="2">
        <v>8</v>
      </c>
    </row>
    <row r="170" spans="1:4" x14ac:dyDescent="0.2">
      <c r="A170" s="1" t="s">
        <v>266</v>
      </c>
      <c r="B170" s="2">
        <v>3</v>
      </c>
    </row>
    <row r="171" spans="1:4" x14ac:dyDescent="0.2">
      <c r="A171" s="1" t="s">
        <v>154</v>
      </c>
      <c r="B171" s="2">
        <v>8</v>
      </c>
    </row>
    <row r="172" spans="1:4" x14ac:dyDescent="0.2">
      <c r="A172" s="1" t="s">
        <v>187</v>
      </c>
      <c r="B172" s="2">
        <v>6</v>
      </c>
    </row>
    <row r="173" spans="1:4" x14ac:dyDescent="0.2">
      <c r="A173" s="1" t="s">
        <v>19</v>
      </c>
      <c r="B173" s="2">
        <v>24</v>
      </c>
      <c r="C173" t="s">
        <v>232</v>
      </c>
      <c r="D173">
        <f>B173+B174</f>
        <v>28</v>
      </c>
    </row>
    <row r="174" spans="1:4" x14ac:dyDescent="0.2">
      <c r="A174" s="1" t="s">
        <v>232</v>
      </c>
      <c r="B174" s="2">
        <v>4</v>
      </c>
      <c r="C174" t="s">
        <v>232</v>
      </c>
      <c r="D174">
        <v>28</v>
      </c>
    </row>
    <row r="175" spans="1:4" x14ac:dyDescent="0.2">
      <c r="A175" s="1" t="s">
        <v>23</v>
      </c>
      <c r="B175" s="2">
        <v>24</v>
      </c>
    </row>
    <row r="176" spans="1:4" x14ac:dyDescent="0.2">
      <c r="A176" s="1" t="s">
        <v>5</v>
      </c>
      <c r="B176" s="2">
        <v>32</v>
      </c>
      <c r="C176" t="s">
        <v>5</v>
      </c>
      <c r="D176">
        <f>B176+B177+B178</f>
        <v>56</v>
      </c>
    </row>
    <row r="177" spans="1:4" x14ac:dyDescent="0.2">
      <c r="A177" s="1" t="s">
        <v>78</v>
      </c>
      <c r="B177" s="2">
        <v>16</v>
      </c>
      <c r="C177" t="s">
        <v>5</v>
      </c>
      <c r="D177">
        <v>56</v>
      </c>
    </row>
    <row r="178" spans="1:4" x14ac:dyDescent="0.2">
      <c r="A178" s="1" t="s">
        <v>157</v>
      </c>
      <c r="B178" s="2">
        <v>8</v>
      </c>
      <c r="C178" t="s">
        <v>5</v>
      </c>
      <c r="D178">
        <v>56</v>
      </c>
    </row>
    <row r="179" spans="1:4" x14ac:dyDescent="0.2">
      <c r="A179" s="1" t="s">
        <v>156</v>
      </c>
      <c r="B179" s="2">
        <v>8</v>
      </c>
    </row>
    <row r="180" spans="1:4" x14ac:dyDescent="0.2">
      <c r="A180" s="1" t="s">
        <v>185</v>
      </c>
      <c r="B180" s="2">
        <v>6</v>
      </c>
    </row>
    <row r="181" spans="1:4" x14ac:dyDescent="0.2">
      <c r="A181" s="1" t="s">
        <v>84</v>
      </c>
      <c r="B181" s="2">
        <v>16</v>
      </c>
    </row>
    <row r="182" spans="1:4" x14ac:dyDescent="0.2">
      <c r="A182" s="1" t="s">
        <v>132</v>
      </c>
      <c r="B182" s="2">
        <v>9</v>
      </c>
      <c r="C182" t="s">
        <v>132</v>
      </c>
      <c r="D182">
        <f>B182+B183</f>
        <v>21</v>
      </c>
    </row>
    <row r="183" spans="1:4" x14ac:dyDescent="0.2">
      <c r="A183" s="1" t="s">
        <v>111</v>
      </c>
      <c r="B183" s="2">
        <v>12</v>
      </c>
      <c r="C183" t="s">
        <v>388</v>
      </c>
      <c r="D183">
        <v>21</v>
      </c>
    </row>
    <row r="184" spans="1:4" x14ac:dyDescent="0.2">
      <c r="A184" s="1" t="s">
        <v>150</v>
      </c>
      <c r="B184" s="2">
        <v>8</v>
      </c>
    </row>
    <row r="185" spans="1:4" x14ac:dyDescent="0.2">
      <c r="A185" s="1" t="s">
        <v>159</v>
      </c>
      <c r="B185" s="2">
        <v>8</v>
      </c>
    </row>
    <row r="186" spans="1:4" x14ac:dyDescent="0.2">
      <c r="A186" s="1" t="s">
        <v>81</v>
      </c>
      <c r="B186" s="2">
        <v>16</v>
      </c>
    </row>
    <row r="187" spans="1:4" x14ac:dyDescent="0.2">
      <c r="A187" s="1" t="s">
        <v>160</v>
      </c>
      <c r="B187" s="2">
        <v>8</v>
      </c>
    </row>
    <row r="188" spans="1:4" x14ac:dyDescent="0.2">
      <c r="A188" s="1" t="s">
        <v>77</v>
      </c>
      <c r="B188" s="2">
        <v>16</v>
      </c>
    </row>
    <row r="189" spans="1:4" x14ac:dyDescent="0.2">
      <c r="A189" s="1" t="s">
        <v>164</v>
      </c>
      <c r="B189" s="2">
        <v>8</v>
      </c>
      <c r="C189" t="s">
        <v>32</v>
      </c>
      <c r="D189">
        <f>B189+B190</f>
        <v>31</v>
      </c>
    </row>
    <row r="190" spans="1:4" x14ac:dyDescent="0.2">
      <c r="A190" s="1" t="s">
        <v>32</v>
      </c>
      <c r="B190" s="2">
        <v>23</v>
      </c>
      <c r="C190" t="s">
        <v>32</v>
      </c>
      <c r="D190">
        <v>31</v>
      </c>
    </row>
    <row r="191" spans="1:4" x14ac:dyDescent="0.2">
      <c r="A191" s="1" t="s">
        <v>2</v>
      </c>
      <c r="B191" s="2">
        <v>33</v>
      </c>
      <c r="C191" t="s">
        <v>2</v>
      </c>
      <c r="D191">
        <v>71</v>
      </c>
    </row>
    <row r="192" spans="1:4" x14ac:dyDescent="0.2">
      <c r="A192" s="1" t="s">
        <v>155</v>
      </c>
      <c r="B192" s="2">
        <v>8</v>
      </c>
    </row>
    <row r="193" spans="1:4" x14ac:dyDescent="0.2">
      <c r="A193" s="1" t="s">
        <v>103</v>
      </c>
      <c r="B193" s="2">
        <v>13</v>
      </c>
    </row>
    <row r="194" spans="1:4" x14ac:dyDescent="0.2">
      <c r="A194" s="1" t="s">
        <v>115</v>
      </c>
      <c r="B194" s="2">
        <v>12</v>
      </c>
    </row>
    <row r="195" spans="1:4" x14ac:dyDescent="0.2">
      <c r="A195" s="1" t="s">
        <v>221</v>
      </c>
      <c r="B195" s="2">
        <v>4</v>
      </c>
      <c r="C195" t="s">
        <v>2</v>
      </c>
      <c r="D195">
        <v>128</v>
      </c>
    </row>
    <row r="196" spans="1:4" x14ac:dyDescent="0.2">
      <c r="A196" s="1" t="s">
        <v>135</v>
      </c>
      <c r="B196" s="2">
        <v>9</v>
      </c>
    </row>
    <row r="197" spans="1:4" x14ac:dyDescent="0.2">
      <c r="A197" s="1" t="s">
        <v>201</v>
      </c>
      <c r="B197" s="2">
        <v>5</v>
      </c>
    </row>
    <row r="198" spans="1:4" x14ac:dyDescent="0.2">
      <c r="A198" s="1" t="s">
        <v>126</v>
      </c>
      <c r="B198" s="2">
        <v>10</v>
      </c>
    </row>
    <row r="199" spans="1:4" x14ac:dyDescent="0.2">
      <c r="A199" s="1" t="s">
        <v>340</v>
      </c>
      <c r="B199" s="2">
        <v>1</v>
      </c>
      <c r="C199" t="s">
        <v>2</v>
      </c>
      <c r="D199">
        <v>128</v>
      </c>
    </row>
    <row r="200" spans="1:4" x14ac:dyDescent="0.2">
      <c r="A200" s="1" t="s">
        <v>270</v>
      </c>
      <c r="B200" s="2">
        <v>2</v>
      </c>
    </row>
    <row r="201" spans="1:4" x14ac:dyDescent="0.2">
      <c r="A201" s="1" t="s">
        <v>148</v>
      </c>
      <c r="B201" s="2">
        <v>8</v>
      </c>
      <c r="C201" t="s">
        <v>148</v>
      </c>
      <c r="D201">
        <f>B201+B202</f>
        <v>16</v>
      </c>
    </row>
    <row r="202" spans="1:4" x14ac:dyDescent="0.2">
      <c r="A202" s="1" t="s">
        <v>149</v>
      </c>
      <c r="B202" s="2">
        <v>8</v>
      </c>
      <c r="C202" t="s">
        <v>148</v>
      </c>
      <c r="D202">
        <v>16</v>
      </c>
    </row>
    <row r="203" spans="1:4" x14ac:dyDescent="0.2">
      <c r="A203" s="1" t="s">
        <v>146</v>
      </c>
      <c r="B203" s="2">
        <v>8</v>
      </c>
    </row>
    <row r="204" spans="1:4" x14ac:dyDescent="0.2">
      <c r="A204" s="1" t="s">
        <v>76</v>
      </c>
      <c r="B204" s="2">
        <v>16</v>
      </c>
    </row>
    <row r="205" spans="1:4" x14ac:dyDescent="0.2">
      <c r="A205" s="1" t="s">
        <v>158</v>
      </c>
      <c r="B205" s="2">
        <v>8</v>
      </c>
    </row>
    <row r="206" spans="1:4" x14ac:dyDescent="0.2">
      <c r="A206" s="1" t="s">
        <v>123</v>
      </c>
      <c r="B206" s="2">
        <v>11</v>
      </c>
    </row>
    <row r="207" spans="1:4" x14ac:dyDescent="0.2">
      <c r="A207" s="1" t="s">
        <v>92</v>
      </c>
      <c r="B207" s="2">
        <v>14</v>
      </c>
    </row>
    <row r="208" spans="1:4" x14ac:dyDescent="0.2">
      <c r="A208" s="1" t="s">
        <v>143</v>
      </c>
      <c r="B208" s="2">
        <v>8</v>
      </c>
      <c r="C208" t="s">
        <v>143</v>
      </c>
      <c r="D208">
        <f>B208+B209</f>
        <v>13</v>
      </c>
    </row>
    <row r="209" spans="1:4" x14ac:dyDescent="0.2">
      <c r="A209" s="1" t="s">
        <v>198</v>
      </c>
      <c r="B209" s="2">
        <v>5</v>
      </c>
      <c r="C209" t="s">
        <v>143</v>
      </c>
      <c r="D209">
        <v>13</v>
      </c>
    </row>
    <row r="210" spans="1:4" x14ac:dyDescent="0.2">
      <c r="A210" s="1" t="s">
        <v>14</v>
      </c>
      <c r="B210" s="2">
        <v>25</v>
      </c>
      <c r="C210" t="s">
        <v>14</v>
      </c>
      <c r="D210">
        <f>B210+B211</f>
        <v>40</v>
      </c>
    </row>
    <row r="211" spans="1:4" x14ac:dyDescent="0.2">
      <c r="A211" s="1" t="s">
        <v>90</v>
      </c>
      <c r="B211" s="2">
        <v>15</v>
      </c>
      <c r="C211" t="s">
        <v>14</v>
      </c>
      <c r="D211">
        <v>40</v>
      </c>
    </row>
    <row r="212" spans="1:4" x14ac:dyDescent="0.2">
      <c r="A212" s="1" t="s">
        <v>83</v>
      </c>
      <c r="B212" s="2">
        <v>16</v>
      </c>
      <c r="C212" t="s">
        <v>105</v>
      </c>
      <c r="D212">
        <f>B212+B213+B214+B215</f>
        <v>37</v>
      </c>
    </row>
    <row r="213" spans="1:4" x14ac:dyDescent="0.2">
      <c r="A213" s="1" t="s">
        <v>105</v>
      </c>
      <c r="B213" s="2">
        <v>13</v>
      </c>
      <c r="C213" t="s">
        <v>105</v>
      </c>
      <c r="D213">
        <v>37</v>
      </c>
    </row>
    <row r="214" spans="1:4" x14ac:dyDescent="0.2">
      <c r="A214" s="1" t="s">
        <v>240</v>
      </c>
      <c r="B214" s="2">
        <v>4</v>
      </c>
      <c r="C214" t="s">
        <v>105</v>
      </c>
      <c r="D214">
        <v>37</v>
      </c>
    </row>
    <row r="215" spans="1:4" x14ac:dyDescent="0.2">
      <c r="A215" s="1" t="s">
        <v>242</v>
      </c>
      <c r="B215" s="2">
        <v>4</v>
      </c>
      <c r="C215" t="s">
        <v>105</v>
      </c>
      <c r="D215">
        <v>37</v>
      </c>
    </row>
    <row r="216" spans="1:4" x14ac:dyDescent="0.2">
      <c r="A216" s="1" t="s">
        <v>99</v>
      </c>
      <c r="B216" s="2">
        <v>13</v>
      </c>
      <c r="C216" t="s">
        <v>99</v>
      </c>
      <c r="D216">
        <f>B216+B217</f>
        <v>14</v>
      </c>
    </row>
    <row r="217" spans="1:4" x14ac:dyDescent="0.2">
      <c r="A217" s="1" t="s">
        <v>321</v>
      </c>
      <c r="B217" s="2">
        <v>1</v>
      </c>
      <c r="C217" t="s">
        <v>99</v>
      </c>
      <c r="D217">
        <v>14</v>
      </c>
    </row>
    <row r="218" spans="1:4" x14ac:dyDescent="0.2">
      <c r="A218" s="1" t="s">
        <v>34</v>
      </c>
      <c r="B218" s="2">
        <v>23</v>
      </c>
      <c r="C218" t="s">
        <v>342</v>
      </c>
      <c r="D218">
        <v>71</v>
      </c>
    </row>
    <row r="219" spans="1:4" x14ac:dyDescent="0.2">
      <c r="A219" s="1" t="s">
        <v>274</v>
      </c>
      <c r="B219" s="2">
        <v>2</v>
      </c>
    </row>
    <row r="220" spans="1:4" x14ac:dyDescent="0.2">
      <c r="A220" s="1" t="s">
        <v>231</v>
      </c>
      <c r="B220" s="2">
        <v>4</v>
      </c>
      <c r="C220" t="s">
        <v>231</v>
      </c>
      <c r="D220">
        <f>B220+B221</f>
        <v>11</v>
      </c>
    </row>
    <row r="221" spans="1:4" x14ac:dyDescent="0.2">
      <c r="A221" s="1" t="s">
        <v>171</v>
      </c>
      <c r="B221" s="2">
        <v>7</v>
      </c>
      <c r="C221" t="s">
        <v>231</v>
      </c>
      <c r="D221">
        <v>11</v>
      </c>
    </row>
    <row r="222" spans="1:4" x14ac:dyDescent="0.2">
      <c r="A222" s="1" t="s">
        <v>104</v>
      </c>
      <c r="B222" s="2">
        <v>13</v>
      </c>
    </row>
    <row r="223" spans="1:4" x14ac:dyDescent="0.2">
      <c r="A223" s="1" t="s">
        <v>304</v>
      </c>
      <c r="B223" s="2">
        <v>1</v>
      </c>
    </row>
    <row r="224" spans="1:4" x14ac:dyDescent="0.2">
      <c r="A224" s="1" t="s">
        <v>121</v>
      </c>
      <c r="B224" s="2">
        <v>11</v>
      </c>
      <c r="C224" t="s">
        <v>121</v>
      </c>
      <c r="D224">
        <f>B224+B230</f>
        <v>16</v>
      </c>
    </row>
    <row r="225" spans="1:4" x14ac:dyDescent="0.2">
      <c r="A225" s="1" t="s">
        <v>248</v>
      </c>
      <c r="B225" s="2">
        <v>4</v>
      </c>
      <c r="C225" t="s">
        <v>121</v>
      </c>
      <c r="D225">
        <v>16</v>
      </c>
    </row>
    <row r="226" spans="1:4" x14ac:dyDescent="0.2">
      <c r="A226" s="1" t="s">
        <v>318</v>
      </c>
      <c r="B226" s="2">
        <v>1</v>
      </c>
    </row>
    <row r="227" spans="1:4" x14ac:dyDescent="0.2">
      <c r="A227" s="1" t="s">
        <v>89</v>
      </c>
      <c r="B227" s="2">
        <v>15</v>
      </c>
    </row>
    <row r="228" spans="1:4" x14ac:dyDescent="0.2">
      <c r="A228" s="1" t="s">
        <v>217</v>
      </c>
      <c r="B228" s="2">
        <v>4</v>
      </c>
    </row>
    <row r="229" spans="1:4" x14ac:dyDescent="0.2">
      <c r="A229" s="1" t="s">
        <v>136</v>
      </c>
      <c r="B229" s="2">
        <v>9</v>
      </c>
    </row>
    <row r="230" spans="1:4" x14ac:dyDescent="0.2">
      <c r="A230" s="1" t="s">
        <v>213</v>
      </c>
      <c r="B230" s="2">
        <v>5</v>
      </c>
    </row>
    <row r="231" spans="1:4" x14ac:dyDescent="0.2">
      <c r="A231" s="1" t="s">
        <v>139</v>
      </c>
      <c r="B231" s="2">
        <v>9</v>
      </c>
    </row>
    <row r="232" spans="1:4" x14ac:dyDescent="0.2">
      <c r="A232" s="1" t="s">
        <v>299</v>
      </c>
      <c r="B232" s="2">
        <v>2</v>
      </c>
    </row>
    <row r="233" spans="1:4" x14ac:dyDescent="0.2">
      <c r="A233" s="1" t="s">
        <v>262</v>
      </c>
      <c r="B233" s="2">
        <v>3</v>
      </c>
      <c r="C233" t="s">
        <v>316</v>
      </c>
      <c r="D233">
        <f>B233+B234</f>
        <v>4</v>
      </c>
    </row>
    <row r="234" spans="1:4" x14ac:dyDescent="0.2">
      <c r="A234" s="1" t="s">
        <v>316</v>
      </c>
      <c r="B234" s="2">
        <v>1</v>
      </c>
      <c r="C234" t="s">
        <v>316</v>
      </c>
      <c r="D234">
        <v>4</v>
      </c>
    </row>
    <row r="235" spans="1:4" x14ac:dyDescent="0.2">
      <c r="A235" s="1" t="s">
        <v>73</v>
      </c>
      <c r="B235" s="2">
        <v>17</v>
      </c>
    </row>
    <row r="236" spans="1:4" x14ac:dyDescent="0.2">
      <c r="A236" s="1" t="s">
        <v>40</v>
      </c>
      <c r="B236" s="2">
        <v>21</v>
      </c>
    </row>
    <row r="237" spans="1:4" x14ac:dyDescent="0.2">
      <c r="A237" s="1" t="s">
        <v>170</v>
      </c>
      <c r="B237" s="2">
        <v>7</v>
      </c>
    </row>
    <row r="238" spans="1:4" x14ac:dyDescent="0.2">
      <c r="A238" s="1" t="s">
        <v>142</v>
      </c>
      <c r="B238" s="2">
        <v>8</v>
      </c>
      <c r="C238" t="s">
        <v>2</v>
      </c>
      <c r="D238">
        <v>128</v>
      </c>
    </row>
    <row r="239" spans="1:4" x14ac:dyDescent="0.2">
      <c r="A239" s="1" t="s">
        <v>169</v>
      </c>
      <c r="B239" s="2">
        <v>7</v>
      </c>
      <c r="C239" t="s">
        <v>169</v>
      </c>
      <c r="D239">
        <f>B239+B240</f>
        <v>11</v>
      </c>
    </row>
    <row r="240" spans="1:4" x14ac:dyDescent="0.2">
      <c r="A240" s="1" t="s">
        <v>215</v>
      </c>
      <c r="B240" s="2">
        <v>4</v>
      </c>
      <c r="C240" t="s">
        <v>169</v>
      </c>
      <c r="D240">
        <v>11</v>
      </c>
    </row>
    <row r="241" spans="1:4" x14ac:dyDescent="0.2">
      <c r="A241" s="1" t="s">
        <v>93</v>
      </c>
      <c r="B241" s="2">
        <v>14</v>
      </c>
    </row>
    <row r="242" spans="1:4" x14ac:dyDescent="0.2">
      <c r="A242" s="1" t="s">
        <v>129</v>
      </c>
      <c r="B242" s="2">
        <v>10</v>
      </c>
      <c r="C242" t="s">
        <v>129</v>
      </c>
      <c r="D242">
        <f>B242+B243</f>
        <v>18</v>
      </c>
    </row>
    <row r="243" spans="1:4" x14ac:dyDescent="0.2">
      <c r="A243" s="1" t="s">
        <v>144</v>
      </c>
      <c r="B243" s="2">
        <v>8</v>
      </c>
      <c r="C243" t="s">
        <v>129</v>
      </c>
      <c r="D243">
        <v>18</v>
      </c>
    </row>
    <row r="244" spans="1:4" x14ac:dyDescent="0.2">
      <c r="A244" s="1" t="s">
        <v>204</v>
      </c>
      <c r="B244" s="2">
        <v>5</v>
      </c>
    </row>
    <row r="245" spans="1:4" x14ac:dyDescent="0.2">
      <c r="A245" s="1" t="s">
        <v>161</v>
      </c>
      <c r="B245" s="2">
        <v>8</v>
      </c>
    </row>
    <row r="246" spans="1:4" x14ac:dyDescent="0.2">
      <c r="A246" s="1" t="s">
        <v>9</v>
      </c>
      <c r="B246" s="2">
        <v>30</v>
      </c>
      <c r="C246" t="s">
        <v>9</v>
      </c>
      <c r="D246">
        <f>B246+B251+B252+B253+B254</f>
        <v>92</v>
      </c>
    </row>
    <row r="247" spans="1:4" x14ac:dyDescent="0.2">
      <c r="A247" s="1" t="s">
        <v>273</v>
      </c>
      <c r="B247" s="2">
        <v>2</v>
      </c>
    </row>
    <row r="248" spans="1:4" x14ac:dyDescent="0.2">
      <c r="A248" s="1" t="s">
        <v>27</v>
      </c>
      <c r="B248" s="2">
        <v>24</v>
      </c>
      <c r="C248" t="s">
        <v>27</v>
      </c>
      <c r="D248">
        <f>B248+B249*B250</f>
        <v>114</v>
      </c>
    </row>
    <row r="249" spans="1:4" x14ac:dyDescent="0.2">
      <c r="A249" s="1" t="s">
        <v>59</v>
      </c>
      <c r="B249" s="2">
        <v>18</v>
      </c>
      <c r="C249" t="s">
        <v>27</v>
      </c>
      <c r="D249">
        <v>114</v>
      </c>
    </row>
    <row r="250" spans="1:4" x14ac:dyDescent="0.2">
      <c r="A250" s="1" t="s">
        <v>205</v>
      </c>
      <c r="B250" s="2">
        <v>5</v>
      </c>
      <c r="C250" t="s">
        <v>27</v>
      </c>
      <c r="D250">
        <v>114</v>
      </c>
    </row>
    <row r="251" spans="1:4" x14ac:dyDescent="0.2">
      <c r="A251" s="1" t="s">
        <v>11</v>
      </c>
      <c r="B251" s="2">
        <v>28</v>
      </c>
      <c r="C251" t="s">
        <v>9</v>
      </c>
      <c r="D251">
        <v>92</v>
      </c>
    </row>
    <row r="252" spans="1:4" x14ac:dyDescent="0.2">
      <c r="A252" s="1" t="s">
        <v>26</v>
      </c>
      <c r="B252" s="2">
        <v>24</v>
      </c>
      <c r="C252" t="s">
        <v>9</v>
      </c>
      <c r="D252">
        <v>92</v>
      </c>
    </row>
    <row r="253" spans="1:4" x14ac:dyDescent="0.2">
      <c r="A253" s="1" t="s">
        <v>216</v>
      </c>
      <c r="B253" s="2">
        <v>4</v>
      </c>
      <c r="C253" t="s">
        <v>9</v>
      </c>
      <c r="D253">
        <v>92</v>
      </c>
    </row>
    <row r="254" spans="1:4" x14ac:dyDescent="0.2">
      <c r="A254" s="1" t="s">
        <v>186</v>
      </c>
      <c r="B254" s="2">
        <v>6</v>
      </c>
      <c r="C254" t="s">
        <v>9</v>
      </c>
      <c r="D254">
        <v>92</v>
      </c>
    </row>
    <row r="255" spans="1:4" x14ac:dyDescent="0.2">
      <c r="A255" s="1" t="s">
        <v>85</v>
      </c>
      <c r="B255" s="2">
        <v>16</v>
      </c>
    </row>
    <row r="256" spans="1:4" x14ac:dyDescent="0.2">
      <c r="A256" s="1" t="s">
        <v>302</v>
      </c>
      <c r="B256" s="2">
        <v>1</v>
      </c>
    </row>
    <row r="257" spans="1:4" x14ac:dyDescent="0.2">
      <c r="A257" s="1" t="s">
        <v>31</v>
      </c>
      <c r="B257" s="2">
        <v>24</v>
      </c>
      <c r="C257" t="s">
        <v>2</v>
      </c>
      <c r="D257">
        <v>128</v>
      </c>
    </row>
    <row r="258" spans="1:4" x14ac:dyDescent="0.2">
      <c r="A258" s="1" t="s">
        <v>48</v>
      </c>
      <c r="B258" s="2">
        <v>20</v>
      </c>
      <c r="C258" t="s">
        <v>2</v>
      </c>
      <c r="D258">
        <v>128</v>
      </c>
    </row>
    <row r="259" spans="1:4" x14ac:dyDescent="0.2">
      <c r="A259" s="1" t="s">
        <v>102</v>
      </c>
      <c r="B259" s="2">
        <v>13</v>
      </c>
      <c r="C259" t="s">
        <v>2</v>
      </c>
      <c r="D259">
        <v>128</v>
      </c>
    </row>
    <row r="260" spans="1:4" x14ac:dyDescent="0.2">
      <c r="A260" s="1" t="s">
        <v>25</v>
      </c>
      <c r="B260" s="2">
        <v>24</v>
      </c>
    </row>
    <row r="261" spans="1:4" x14ac:dyDescent="0.2">
      <c r="A261" s="1" t="s">
        <v>20</v>
      </c>
      <c r="B261" s="2">
        <v>24</v>
      </c>
      <c r="C261" t="s">
        <v>20</v>
      </c>
      <c r="D261">
        <f>B261+B262+B263+B264</f>
        <v>46</v>
      </c>
    </row>
    <row r="262" spans="1:4" x14ac:dyDescent="0.2">
      <c r="A262" s="1" t="s">
        <v>50</v>
      </c>
      <c r="B262" s="2">
        <v>19</v>
      </c>
      <c r="C262" t="s">
        <v>20</v>
      </c>
      <c r="D262">
        <v>46</v>
      </c>
    </row>
    <row r="263" spans="1:4" x14ac:dyDescent="0.2">
      <c r="A263" s="1" t="s">
        <v>291</v>
      </c>
      <c r="B263" s="2">
        <v>2</v>
      </c>
      <c r="C263" t="s">
        <v>20</v>
      </c>
      <c r="D263">
        <v>46</v>
      </c>
    </row>
    <row r="264" spans="1:4" x14ac:dyDescent="0.2">
      <c r="A264" s="1" t="s">
        <v>312</v>
      </c>
      <c r="B264" s="2">
        <v>1</v>
      </c>
      <c r="C264" t="s">
        <v>20</v>
      </c>
      <c r="D264">
        <v>46</v>
      </c>
    </row>
    <row r="265" spans="1:4" x14ac:dyDescent="0.2">
      <c r="A265" s="1" t="s">
        <v>235</v>
      </c>
      <c r="B265" s="2">
        <v>4</v>
      </c>
    </row>
    <row r="266" spans="1:4" x14ac:dyDescent="0.2">
      <c r="A266" s="1" t="s">
        <v>21</v>
      </c>
      <c r="B266" s="2">
        <v>24</v>
      </c>
    </row>
    <row r="267" spans="1:4" x14ac:dyDescent="0.2">
      <c r="A267" s="1" t="s">
        <v>203</v>
      </c>
      <c r="B267" s="2">
        <v>5</v>
      </c>
    </row>
    <row r="268" spans="1:4" x14ac:dyDescent="0.2">
      <c r="A268" s="1" t="s">
        <v>184</v>
      </c>
      <c r="B268" s="2">
        <v>6</v>
      </c>
      <c r="C268" t="s">
        <v>184</v>
      </c>
      <c r="D268">
        <f>B268+B269</f>
        <v>10</v>
      </c>
    </row>
    <row r="269" spans="1:4" x14ac:dyDescent="0.2">
      <c r="A269" s="1" t="s">
        <v>230</v>
      </c>
      <c r="B269" s="2">
        <v>4</v>
      </c>
      <c r="C269" t="s">
        <v>184</v>
      </c>
      <c r="D269">
        <v>10</v>
      </c>
    </row>
    <row r="270" spans="1:4" x14ac:dyDescent="0.2">
      <c r="A270" s="1" t="s">
        <v>174</v>
      </c>
      <c r="B270" s="2">
        <v>7</v>
      </c>
    </row>
    <row r="271" spans="1:4" x14ac:dyDescent="0.2">
      <c r="A271" s="1" t="s">
        <v>13</v>
      </c>
      <c r="B271" s="2">
        <v>26</v>
      </c>
      <c r="C271" t="s">
        <v>13</v>
      </c>
      <c r="D271">
        <f>B271+B272</f>
        <v>31</v>
      </c>
    </row>
    <row r="272" spans="1:4" x14ac:dyDescent="0.2">
      <c r="A272" s="1" t="s">
        <v>199</v>
      </c>
      <c r="B272" s="2">
        <v>5</v>
      </c>
      <c r="C272" t="s">
        <v>13</v>
      </c>
      <c r="D272">
        <v>31</v>
      </c>
    </row>
    <row r="273" spans="1:4" x14ac:dyDescent="0.2">
      <c r="A273" s="1" t="s">
        <v>195</v>
      </c>
      <c r="B273" s="2">
        <v>5</v>
      </c>
      <c r="C273" t="s">
        <v>195</v>
      </c>
      <c r="D273">
        <f>B273+B274+B275</f>
        <v>29</v>
      </c>
    </row>
    <row r="274" spans="1:4" x14ac:dyDescent="0.2">
      <c r="A274" s="1" t="s">
        <v>94</v>
      </c>
      <c r="B274" s="2">
        <v>14</v>
      </c>
      <c r="C274" t="s">
        <v>195</v>
      </c>
      <c r="D274">
        <v>29</v>
      </c>
    </row>
    <row r="275" spans="1:4" x14ac:dyDescent="0.2">
      <c r="A275" s="1" t="s">
        <v>127</v>
      </c>
      <c r="B275" s="2">
        <v>10</v>
      </c>
      <c r="C275" t="s">
        <v>195</v>
      </c>
      <c r="D275">
        <v>29</v>
      </c>
    </row>
    <row r="276" spans="1:4" x14ac:dyDescent="0.2">
      <c r="A276" s="1" t="s">
        <v>120</v>
      </c>
      <c r="B276" s="2">
        <v>11</v>
      </c>
    </row>
    <row r="277" spans="1:4" x14ac:dyDescent="0.2">
      <c r="A277" s="1" t="s">
        <v>53</v>
      </c>
      <c r="B277" s="2">
        <v>19</v>
      </c>
    </row>
    <row r="278" spans="1:4" x14ac:dyDescent="0.2">
      <c r="A278" s="1" t="s">
        <v>331</v>
      </c>
      <c r="B278" s="2">
        <v>1</v>
      </c>
    </row>
    <row r="279" spans="1:4" x14ac:dyDescent="0.2">
      <c r="A279" s="1" t="s">
        <v>202</v>
      </c>
      <c r="B279" s="2">
        <v>5</v>
      </c>
    </row>
    <row r="280" spans="1:4" x14ac:dyDescent="0.2">
      <c r="A280" s="1" t="s">
        <v>79</v>
      </c>
      <c r="B280" s="2">
        <v>16</v>
      </c>
    </row>
    <row r="281" spans="1:4" x14ac:dyDescent="0.2">
      <c r="A281" s="1" t="s">
        <v>162</v>
      </c>
      <c r="B281" s="2">
        <v>8</v>
      </c>
      <c r="C281" t="s">
        <v>162</v>
      </c>
      <c r="D281">
        <f>B281+B282</f>
        <v>24</v>
      </c>
    </row>
    <row r="282" spans="1:4" x14ac:dyDescent="0.2">
      <c r="A282" s="1" t="s">
        <v>80</v>
      </c>
      <c r="B282" s="2">
        <v>16</v>
      </c>
      <c r="C282" t="s">
        <v>162</v>
      </c>
      <c r="D282">
        <v>24</v>
      </c>
    </row>
    <row r="283" spans="1:4" x14ac:dyDescent="0.2">
      <c r="A283" s="1" t="s">
        <v>86</v>
      </c>
      <c r="B283" s="2">
        <v>16</v>
      </c>
    </row>
    <row r="284" spans="1:4" x14ac:dyDescent="0.2">
      <c r="A284" s="1" t="s">
        <v>283</v>
      </c>
      <c r="B284" s="2">
        <v>2</v>
      </c>
    </row>
    <row r="285" spans="1:4" x14ac:dyDescent="0.2">
      <c r="A285" s="1" t="s">
        <v>188</v>
      </c>
      <c r="B285" s="2">
        <v>6</v>
      </c>
    </row>
    <row r="286" spans="1:4" x14ac:dyDescent="0.2">
      <c r="A286" s="1" t="s">
        <v>349</v>
      </c>
      <c r="B286" s="2">
        <v>1</v>
      </c>
      <c r="C286" t="s">
        <v>349</v>
      </c>
      <c r="D286">
        <f>B286+B287</f>
        <v>2</v>
      </c>
    </row>
    <row r="287" spans="1:4" x14ac:dyDescent="0.2">
      <c r="A287" s="1" t="s">
        <v>351</v>
      </c>
      <c r="B287" s="2">
        <v>1</v>
      </c>
      <c r="C287" t="s">
        <v>349</v>
      </c>
      <c r="D287">
        <v>2</v>
      </c>
    </row>
    <row r="288" spans="1:4" x14ac:dyDescent="0.2">
      <c r="A288" s="1" t="s">
        <v>66</v>
      </c>
      <c r="B288" s="2">
        <v>17</v>
      </c>
    </row>
    <row r="289" spans="1:2" x14ac:dyDescent="0.2">
      <c r="A289" s="1" t="s">
        <v>29</v>
      </c>
      <c r="B289" s="2">
        <v>24</v>
      </c>
    </row>
    <row r="290" spans="1:2" x14ac:dyDescent="0.2">
      <c r="A290" s="1" t="s">
        <v>224</v>
      </c>
      <c r="B290" s="2">
        <v>4</v>
      </c>
    </row>
    <row r="291" spans="1:2" x14ac:dyDescent="0.2">
      <c r="A291" s="1" t="s">
        <v>8</v>
      </c>
      <c r="B291" s="2">
        <v>31</v>
      </c>
    </row>
    <row r="292" spans="1:2" x14ac:dyDescent="0.2">
      <c r="A292" s="1" t="s">
        <v>300</v>
      </c>
      <c r="B292" s="2">
        <v>1</v>
      </c>
    </row>
    <row r="293" spans="1:2" x14ac:dyDescent="0.2">
      <c r="A293" s="1" t="s">
        <v>255</v>
      </c>
      <c r="B293" s="2">
        <v>3</v>
      </c>
    </row>
    <row r="294" spans="1:2" x14ac:dyDescent="0.2">
      <c r="A294" s="1" t="s">
        <v>260</v>
      </c>
      <c r="B294" s="2">
        <v>3</v>
      </c>
    </row>
    <row r="295" spans="1:2" x14ac:dyDescent="0.2">
      <c r="A295" s="1" t="s">
        <v>356</v>
      </c>
      <c r="B295" s="2">
        <v>1</v>
      </c>
    </row>
    <row r="296" spans="1:2" x14ac:dyDescent="0.2">
      <c r="A296" s="1" t="s">
        <v>307</v>
      </c>
      <c r="B296" s="2">
        <v>1</v>
      </c>
    </row>
    <row r="297" spans="1:2" x14ac:dyDescent="0.2">
      <c r="A297" s="1" t="s">
        <v>16</v>
      </c>
      <c r="B297" s="2">
        <v>25</v>
      </c>
    </row>
    <row r="298" spans="1:2" x14ac:dyDescent="0.2">
      <c r="A298" s="1" t="s">
        <v>334</v>
      </c>
      <c r="B298" s="2">
        <v>1</v>
      </c>
    </row>
    <row r="299" spans="1:2" x14ac:dyDescent="0.2">
      <c r="A299" s="1" t="s">
        <v>357</v>
      </c>
      <c r="B299" s="2">
        <v>1</v>
      </c>
    </row>
    <row r="300" spans="1:2" x14ac:dyDescent="0.2">
      <c r="A300" s="1" t="s">
        <v>128</v>
      </c>
      <c r="B300" s="2">
        <v>10</v>
      </c>
    </row>
    <row r="301" spans="1:2" x14ac:dyDescent="0.2">
      <c r="A301" s="1" t="s">
        <v>206</v>
      </c>
      <c r="B301" s="2">
        <v>5</v>
      </c>
    </row>
    <row r="302" spans="1:2" x14ac:dyDescent="0.2">
      <c r="A302" s="1" t="s">
        <v>360</v>
      </c>
      <c r="B302" s="2">
        <v>1</v>
      </c>
    </row>
    <row r="303" spans="1:2" x14ac:dyDescent="0.2">
      <c r="A303" s="1" t="s">
        <v>194</v>
      </c>
      <c r="B303" s="2">
        <v>6</v>
      </c>
    </row>
    <row r="304" spans="1:2" x14ac:dyDescent="0.2">
      <c r="A304" s="1" t="s">
        <v>305</v>
      </c>
      <c r="B304" s="2">
        <v>1</v>
      </c>
    </row>
    <row r="305" spans="1:4" x14ac:dyDescent="0.2">
      <c r="A305" s="1" t="s">
        <v>145</v>
      </c>
      <c r="B305" s="2">
        <v>8</v>
      </c>
    </row>
    <row r="306" spans="1:4" x14ac:dyDescent="0.2">
      <c r="A306" s="1" t="s">
        <v>222</v>
      </c>
      <c r="B306" s="2">
        <v>4</v>
      </c>
    </row>
    <row r="307" spans="1:4" x14ac:dyDescent="0.2">
      <c r="A307" s="1" t="s">
        <v>229</v>
      </c>
      <c r="B307" s="2">
        <v>4</v>
      </c>
    </row>
    <row r="308" spans="1:4" x14ac:dyDescent="0.2">
      <c r="A308" s="1" t="s">
        <v>311</v>
      </c>
      <c r="B308" s="2">
        <v>1</v>
      </c>
    </row>
    <row r="309" spans="1:4" x14ac:dyDescent="0.2">
      <c r="A309" s="1" t="s">
        <v>259</v>
      </c>
      <c r="B309" s="2">
        <v>3</v>
      </c>
    </row>
    <row r="310" spans="1:4" x14ac:dyDescent="0.2">
      <c r="A310" s="1" t="s">
        <v>244</v>
      </c>
      <c r="B310" s="2">
        <v>4</v>
      </c>
    </row>
    <row r="311" spans="1:4" x14ac:dyDescent="0.2">
      <c r="A311" s="1" t="s">
        <v>49</v>
      </c>
      <c r="B311" s="2">
        <v>20</v>
      </c>
    </row>
    <row r="312" spans="1:4" x14ac:dyDescent="0.2">
      <c r="A312" s="1" t="s">
        <v>227</v>
      </c>
      <c r="B312" s="2">
        <v>4</v>
      </c>
    </row>
    <row r="313" spans="1:4" x14ac:dyDescent="0.2">
      <c r="A313" s="1" t="s">
        <v>228</v>
      </c>
      <c r="B313" s="2">
        <v>4</v>
      </c>
    </row>
    <row r="314" spans="1:4" x14ac:dyDescent="0.2">
      <c r="A314" s="1" t="s">
        <v>95</v>
      </c>
      <c r="B314" s="2">
        <v>14</v>
      </c>
    </row>
    <row r="315" spans="1:4" x14ac:dyDescent="0.2">
      <c r="A315" s="1" t="s">
        <v>343</v>
      </c>
      <c r="B315" s="2">
        <v>1</v>
      </c>
    </row>
    <row r="316" spans="1:4" x14ac:dyDescent="0.2">
      <c r="A316" s="1" t="s">
        <v>290</v>
      </c>
      <c r="B316" s="2">
        <v>2</v>
      </c>
      <c r="C316" t="s">
        <v>290</v>
      </c>
      <c r="D316">
        <f>B316+B317</f>
        <v>11</v>
      </c>
    </row>
    <row r="317" spans="1:4" x14ac:dyDescent="0.2">
      <c r="A317" s="1" t="s">
        <v>138</v>
      </c>
      <c r="B317" s="2">
        <v>9</v>
      </c>
      <c r="C317" t="s">
        <v>290</v>
      </c>
      <c r="D317">
        <v>11</v>
      </c>
    </row>
    <row r="318" spans="1:4" x14ac:dyDescent="0.2">
      <c r="A318" s="1" t="s">
        <v>141</v>
      </c>
      <c r="B318" s="2">
        <v>8</v>
      </c>
      <c r="C318" t="s">
        <v>95</v>
      </c>
      <c r="D318">
        <f>B318+B320</f>
        <v>11</v>
      </c>
    </row>
    <row r="319" spans="1:4" x14ac:dyDescent="0.2">
      <c r="A319" s="1" t="s">
        <v>348</v>
      </c>
      <c r="B319" s="2">
        <v>1</v>
      </c>
    </row>
    <row r="320" spans="1:4" x14ac:dyDescent="0.2">
      <c r="A320" s="1" t="s">
        <v>268</v>
      </c>
      <c r="B320" s="2">
        <v>3</v>
      </c>
      <c r="C320" t="s">
        <v>95</v>
      </c>
      <c r="D320">
        <v>11</v>
      </c>
    </row>
    <row r="321" spans="1:4" x14ac:dyDescent="0.2">
      <c r="A321" s="1" t="s">
        <v>368</v>
      </c>
      <c r="B321" s="2">
        <v>1</v>
      </c>
    </row>
    <row r="322" spans="1:4" x14ac:dyDescent="0.2">
      <c r="A322" s="1" t="s">
        <v>319</v>
      </c>
      <c r="B322" s="2">
        <v>1</v>
      </c>
    </row>
    <row r="323" spans="1:4" x14ac:dyDescent="0.2">
      <c r="A323" s="1" t="s">
        <v>72</v>
      </c>
      <c r="B323" s="2">
        <v>17</v>
      </c>
    </row>
    <row r="324" spans="1:4" x14ac:dyDescent="0.2">
      <c r="A324" s="1" t="s">
        <v>284</v>
      </c>
      <c r="B324" s="2">
        <v>2</v>
      </c>
      <c r="C324" t="s">
        <v>284</v>
      </c>
      <c r="D324">
        <f>B324+B325+B326</f>
        <v>7</v>
      </c>
    </row>
    <row r="325" spans="1:4" x14ac:dyDescent="0.2">
      <c r="A325" s="1" t="s">
        <v>264</v>
      </c>
      <c r="B325" s="2">
        <v>3</v>
      </c>
      <c r="C325" t="s">
        <v>284</v>
      </c>
      <c r="D325">
        <v>7</v>
      </c>
    </row>
    <row r="326" spans="1:4" x14ac:dyDescent="0.2">
      <c r="A326" s="1" t="s">
        <v>295</v>
      </c>
      <c r="B326" s="2">
        <v>2</v>
      </c>
      <c r="C326" t="s">
        <v>284</v>
      </c>
      <c r="D326">
        <v>7</v>
      </c>
    </row>
    <row r="327" spans="1:4" x14ac:dyDescent="0.2">
      <c r="A327" s="1" t="s">
        <v>167</v>
      </c>
      <c r="B327" s="2">
        <v>8</v>
      </c>
    </row>
    <row r="328" spans="1:4" x14ac:dyDescent="0.2">
      <c r="A328" s="1" t="s">
        <v>370</v>
      </c>
      <c r="B328" s="2">
        <v>1</v>
      </c>
    </row>
    <row r="329" spans="1:4" x14ac:dyDescent="0.2">
      <c r="A329" s="1" t="s">
        <v>47</v>
      </c>
      <c r="B329" s="2">
        <v>20</v>
      </c>
      <c r="C329" t="s">
        <v>47</v>
      </c>
      <c r="D329">
        <f>B329+B330</f>
        <v>23</v>
      </c>
    </row>
    <row r="330" spans="1:4" x14ac:dyDescent="0.2">
      <c r="A330" s="1" t="s">
        <v>258</v>
      </c>
      <c r="B330" s="2">
        <v>3</v>
      </c>
      <c r="C330" t="s">
        <v>47</v>
      </c>
      <c r="D330">
        <v>23</v>
      </c>
    </row>
    <row r="331" spans="1:4" x14ac:dyDescent="0.2">
      <c r="A331" s="1" t="s">
        <v>280</v>
      </c>
      <c r="B331" s="2">
        <v>2</v>
      </c>
    </row>
    <row r="332" spans="1:4" x14ac:dyDescent="0.2">
      <c r="A332" s="1" t="s">
        <v>182</v>
      </c>
      <c r="B332" s="2">
        <v>6</v>
      </c>
      <c r="C332" t="s">
        <v>46</v>
      </c>
      <c r="D332">
        <f>B332+B334+B335+B336</f>
        <v>49</v>
      </c>
    </row>
    <row r="333" spans="1:4" x14ac:dyDescent="0.2">
      <c r="A333" s="1" t="s">
        <v>335</v>
      </c>
      <c r="B333" s="2">
        <v>1</v>
      </c>
    </row>
    <row r="334" spans="1:4" x14ac:dyDescent="0.2">
      <c r="A334" s="1" t="s">
        <v>46</v>
      </c>
      <c r="B334" s="2">
        <v>20</v>
      </c>
      <c r="C334" t="s">
        <v>46</v>
      </c>
      <c r="D334">
        <v>49</v>
      </c>
    </row>
    <row r="335" spans="1:4" x14ac:dyDescent="0.2">
      <c r="A335" s="1" t="s">
        <v>110</v>
      </c>
      <c r="B335" s="2">
        <v>12</v>
      </c>
      <c r="C335" t="s">
        <v>46</v>
      </c>
      <c r="D335">
        <v>49</v>
      </c>
    </row>
    <row r="336" spans="1:4" x14ac:dyDescent="0.2">
      <c r="A336" s="1" t="s">
        <v>122</v>
      </c>
      <c r="B336" s="2">
        <v>11</v>
      </c>
      <c r="C336" t="s">
        <v>46</v>
      </c>
      <c r="D336">
        <v>49</v>
      </c>
    </row>
    <row r="337" spans="1:4" x14ac:dyDescent="0.2">
      <c r="A337" s="1" t="s">
        <v>294</v>
      </c>
      <c r="B337" s="2">
        <v>2</v>
      </c>
    </row>
    <row r="338" spans="1:4" x14ac:dyDescent="0.2">
      <c r="A338" s="1" t="s">
        <v>373</v>
      </c>
      <c r="B338" s="2">
        <v>1</v>
      </c>
    </row>
    <row r="339" spans="1:4" x14ac:dyDescent="0.2">
      <c r="A339" s="1" t="s">
        <v>208</v>
      </c>
      <c r="B339" s="2">
        <v>5</v>
      </c>
    </row>
    <row r="340" spans="1:4" x14ac:dyDescent="0.2">
      <c r="A340" s="1" t="s">
        <v>306</v>
      </c>
      <c r="B340" s="2">
        <v>1</v>
      </c>
    </row>
    <row r="341" spans="1:4" x14ac:dyDescent="0.2">
      <c r="A341" s="1" t="s">
        <v>112</v>
      </c>
      <c r="B341" s="2">
        <v>12</v>
      </c>
    </row>
    <row r="342" spans="1:4" x14ac:dyDescent="0.2">
      <c r="A342" s="1" t="s">
        <v>225</v>
      </c>
      <c r="B342" s="2">
        <v>4</v>
      </c>
    </row>
    <row r="343" spans="1:4" x14ac:dyDescent="0.2">
      <c r="A343" s="1" t="s">
        <v>212</v>
      </c>
      <c r="B343" s="2">
        <v>5</v>
      </c>
    </row>
    <row r="344" spans="1:4" x14ac:dyDescent="0.2">
      <c r="A344" s="1" t="s">
        <v>38</v>
      </c>
      <c r="B344" s="2">
        <v>22</v>
      </c>
      <c r="C344" t="s">
        <v>24</v>
      </c>
      <c r="D344">
        <f>B345+B344</f>
        <v>46</v>
      </c>
    </row>
    <row r="345" spans="1:4" x14ac:dyDescent="0.2">
      <c r="A345" s="1" t="s">
        <v>24</v>
      </c>
      <c r="B345" s="2">
        <v>24</v>
      </c>
      <c r="C345" t="s">
        <v>24</v>
      </c>
      <c r="D345">
        <v>46</v>
      </c>
    </row>
    <row r="346" spans="1:4" x14ac:dyDescent="0.2">
      <c r="A346" s="1" t="s">
        <v>350</v>
      </c>
      <c r="B346" s="2">
        <v>1</v>
      </c>
      <c r="C346" t="s">
        <v>389</v>
      </c>
      <c r="D346">
        <f>B346+B347</f>
        <v>2</v>
      </c>
    </row>
    <row r="347" spans="1:4" x14ac:dyDescent="0.2">
      <c r="A347" s="1" t="s">
        <v>346</v>
      </c>
      <c r="B347" s="2">
        <v>1</v>
      </c>
      <c r="C347" t="s">
        <v>389</v>
      </c>
      <c r="D347">
        <v>2</v>
      </c>
    </row>
    <row r="348" spans="1:4" x14ac:dyDescent="0.2">
      <c r="A348" s="1" t="s">
        <v>250</v>
      </c>
      <c r="B348" s="2">
        <v>4</v>
      </c>
    </row>
    <row r="349" spans="1:4" x14ac:dyDescent="0.2">
      <c r="A349" s="1" t="s">
        <v>269</v>
      </c>
      <c r="B349" s="2">
        <v>3</v>
      </c>
    </row>
    <row r="350" spans="1:4" x14ac:dyDescent="0.2">
      <c r="A350" s="1" t="s">
        <v>325</v>
      </c>
      <c r="B350" s="2">
        <v>1</v>
      </c>
    </row>
    <row r="351" spans="1:4" x14ac:dyDescent="0.2">
      <c r="A351" s="1" t="s">
        <v>118</v>
      </c>
      <c r="B351" s="2">
        <v>12</v>
      </c>
      <c r="C351" t="s">
        <v>118</v>
      </c>
      <c r="D351">
        <f>B351+B352</f>
        <v>14</v>
      </c>
    </row>
    <row r="352" spans="1:4" x14ac:dyDescent="0.2">
      <c r="A352" s="1" t="s">
        <v>276</v>
      </c>
      <c r="B352" s="2">
        <v>2</v>
      </c>
      <c r="C352" t="s">
        <v>118</v>
      </c>
      <c r="D352">
        <v>14</v>
      </c>
    </row>
    <row r="353" spans="1:4" x14ac:dyDescent="0.2">
      <c r="A353" s="1" t="s">
        <v>100</v>
      </c>
      <c r="B353" s="2">
        <v>13</v>
      </c>
    </row>
    <row r="354" spans="1:4" x14ac:dyDescent="0.2">
      <c r="A354" s="1" t="s">
        <v>337</v>
      </c>
      <c r="B354" s="2">
        <v>1</v>
      </c>
      <c r="C354" t="s">
        <v>337</v>
      </c>
      <c r="D354">
        <f>B354+B355</f>
        <v>2</v>
      </c>
    </row>
    <row r="355" spans="1:4" x14ac:dyDescent="0.2">
      <c r="A355" s="1" t="s">
        <v>347</v>
      </c>
      <c r="B355" s="2">
        <v>1</v>
      </c>
      <c r="C355" t="s">
        <v>337</v>
      </c>
      <c r="D355">
        <v>2</v>
      </c>
    </row>
    <row r="356" spans="1:4" x14ac:dyDescent="0.2">
      <c r="A356" s="1" t="s">
        <v>3</v>
      </c>
      <c r="B356" s="2">
        <v>33</v>
      </c>
      <c r="C356" t="s">
        <v>3</v>
      </c>
      <c r="D356">
        <f>B356+B359+B360</f>
        <v>57</v>
      </c>
    </row>
    <row r="357" spans="1:4" x14ac:dyDescent="0.2">
      <c r="A357" s="1" t="s">
        <v>257</v>
      </c>
      <c r="B357" s="2">
        <v>3</v>
      </c>
    </row>
    <row r="358" spans="1:4" x14ac:dyDescent="0.2">
      <c r="A358" s="1" t="s">
        <v>137</v>
      </c>
      <c r="B358" s="2">
        <v>9</v>
      </c>
    </row>
    <row r="359" spans="1:4" x14ac:dyDescent="0.2">
      <c r="A359" s="1" t="s">
        <v>67</v>
      </c>
      <c r="B359" s="2">
        <v>17</v>
      </c>
      <c r="C359" t="s">
        <v>3</v>
      </c>
      <c r="D359">
        <v>57</v>
      </c>
    </row>
    <row r="360" spans="1:4" x14ac:dyDescent="0.2">
      <c r="A360" s="1" t="s">
        <v>168</v>
      </c>
      <c r="B360" s="2">
        <v>7</v>
      </c>
      <c r="C360" t="s">
        <v>3</v>
      </c>
      <c r="D360">
        <v>57</v>
      </c>
    </row>
    <row r="361" spans="1:4" x14ac:dyDescent="0.2">
      <c r="A361" s="1" t="s">
        <v>298</v>
      </c>
      <c r="B361" s="2">
        <v>2</v>
      </c>
    </row>
    <row r="362" spans="1:4" x14ac:dyDescent="0.2">
      <c r="A362" s="1" t="s">
        <v>332</v>
      </c>
      <c r="B362" s="2">
        <v>1</v>
      </c>
    </row>
    <row r="363" spans="1:4" x14ac:dyDescent="0.2">
      <c r="A363" s="1" t="s">
        <v>296</v>
      </c>
      <c r="B363" s="2">
        <v>2</v>
      </c>
    </row>
    <row r="364" spans="1:4" x14ac:dyDescent="0.2">
      <c r="A364" s="1" t="s">
        <v>297</v>
      </c>
      <c r="B364" s="2">
        <v>2</v>
      </c>
    </row>
    <row r="365" spans="1:4" x14ac:dyDescent="0.2">
      <c r="A365" s="1" t="s">
        <v>261</v>
      </c>
      <c r="B365" s="2">
        <v>3</v>
      </c>
      <c r="C365" t="s">
        <v>261</v>
      </c>
      <c r="D365">
        <f>B365+B367</f>
        <v>4</v>
      </c>
    </row>
    <row r="366" spans="1:4" x14ac:dyDescent="0.2">
      <c r="A366" s="1" t="s">
        <v>317</v>
      </c>
      <c r="B366" s="2">
        <v>1</v>
      </c>
      <c r="C366" t="s">
        <v>390</v>
      </c>
      <c r="D366">
        <f>B366+B368</f>
        <v>3</v>
      </c>
    </row>
    <row r="367" spans="1:4" x14ac:dyDescent="0.2">
      <c r="A367" s="1" t="s">
        <v>381</v>
      </c>
      <c r="B367" s="2">
        <v>1</v>
      </c>
      <c r="C367" t="s">
        <v>261</v>
      </c>
      <c r="D367">
        <v>4</v>
      </c>
    </row>
    <row r="368" spans="1:4" x14ac:dyDescent="0.2">
      <c r="A368" s="1" t="s">
        <v>288</v>
      </c>
      <c r="B368" s="2">
        <v>2</v>
      </c>
      <c r="C368" t="s">
        <v>190</v>
      </c>
      <c r="D368">
        <v>3</v>
      </c>
    </row>
    <row r="369" spans="1:4" x14ac:dyDescent="0.2">
      <c r="A369" s="1" t="s">
        <v>249</v>
      </c>
      <c r="B369" s="2">
        <v>4</v>
      </c>
    </row>
    <row r="370" spans="1:4" x14ac:dyDescent="0.2">
      <c r="A370" s="1" t="s">
        <v>190</v>
      </c>
      <c r="B370" s="2">
        <v>6</v>
      </c>
    </row>
    <row r="371" spans="1:4" x14ac:dyDescent="0.2">
      <c r="A371" s="1" t="s">
        <v>4</v>
      </c>
      <c r="B371" s="2">
        <v>33</v>
      </c>
      <c r="C371" t="s">
        <v>391</v>
      </c>
      <c r="D371">
        <f>B371+B372+B373</f>
        <v>65</v>
      </c>
    </row>
    <row r="372" spans="1:4" x14ac:dyDescent="0.2">
      <c r="A372" s="1" t="s">
        <v>74</v>
      </c>
      <c r="B372" s="2">
        <v>16</v>
      </c>
      <c r="C372" t="s">
        <v>391</v>
      </c>
      <c r="D372">
        <v>65</v>
      </c>
    </row>
    <row r="373" spans="1:4" x14ac:dyDescent="0.2">
      <c r="A373" s="1" t="s">
        <v>75</v>
      </c>
      <c r="B373" s="2">
        <v>16</v>
      </c>
      <c r="C373" t="s">
        <v>391</v>
      </c>
      <c r="D373">
        <v>65</v>
      </c>
    </row>
    <row r="374" spans="1:4" x14ac:dyDescent="0.2">
      <c r="A374" s="1" t="s">
        <v>378</v>
      </c>
      <c r="B374" s="2">
        <v>1</v>
      </c>
      <c r="C374" t="s">
        <v>378</v>
      </c>
      <c r="D374">
        <f>B374+B375</f>
        <v>9</v>
      </c>
    </row>
    <row r="375" spans="1:4" x14ac:dyDescent="0.2">
      <c r="A375" s="1" t="s">
        <v>140</v>
      </c>
      <c r="B375" s="2">
        <v>8</v>
      </c>
      <c r="C375" t="s">
        <v>378</v>
      </c>
      <c r="D375">
        <v>9</v>
      </c>
    </row>
    <row r="376" spans="1:4" x14ac:dyDescent="0.2">
      <c r="A376" s="1" t="s">
        <v>379</v>
      </c>
      <c r="B376" s="2">
        <v>1</v>
      </c>
    </row>
    <row r="377" spans="1:4" x14ac:dyDescent="0.2">
      <c r="A377" s="1" t="s">
        <v>310</v>
      </c>
      <c r="B377" s="2">
        <v>1</v>
      </c>
    </row>
    <row r="378" spans="1:4" x14ac:dyDescent="0.2">
      <c r="A378" s="1" t="s">
        <v>374</v>
      </c>
      <c r="B378" s="2">
        <v>1</v>
      </c>
    </row>
    <row r="379" spans="1:4" x14ac:dyDescent="0.2">
      <c r="A379" s="1" t="s">
        <v>329</v>
      </c>
      <c r="B379" s="2">
        <v>1</v>
      </c>
    </row>
    <row r="380" spans="1:4" x14ac:dyDescent="0.2">
      <c r="A380" s="1" t="s">
        <v>293</v>
      </c>
      <c r="B380" s="2">
        <v>2</v>
      </c>
    </row>
    <row r="381" spans="1:4" x14ac:dyDescent="0.2">
      <c r="A381" s="1" t="s">
        <v>52</v>
      </c>
      <c r="B381" s="2">
        <v>19</v>
      </c>
    </row>
    <row r="382" spans="1:4" x14ac:dyDescent="0.2">
      <c r="A382" s="1" t="s">
        <v>30</v>
      </c>
      <c r="B382" s="2">
        <v>24</v>
      </c>
    </row>
  </sheetData>
  <sortState xmlns:xlrd2="http://schemas.microsoft.com/office/spreadsheetml/2017/richdata2" ref="A2:B382">
    <sortCondition ref="A1:A38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Bernhard-Harrer</dc:creator>
  <cp:lastModifiedBy>Jana Bernhard-Harrer</cp:lastModifiedBy>
  <dcterms:created xsi:type="dcterms:W3CDTF">2026-05-26T10:20:27Z</dcterms:created>
  <dcterms:modified xsi:type="dcterms:W3CDTF">2026-05-26T10:44:06Z</dcterms:modified>
</cp:coreProperties>
</file>